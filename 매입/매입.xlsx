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tlswk\Documents\ShinJadong\02. Tasks\03. 칠칠기업\03. Resources\매입+월급+카드+공사비매입\"/>
    </mc:Choice>
  </mc:AlternateContent>
  <xr:revisionPtr revIDLastSave="0" documentId="13_ncr:1_{C2E26345-C70F-4B17-A8A8-7C5E0DB131BC}" xr6:coauthVersionLast="47" xr6:coauthVersionMax="47" xr10:uidLastSave="{00000000-0000-0000-0000-000000000000}"/>
  <bookViews>
    <workbookView xWindow="-108" yWindow="-108" windowWidth="46296" windowHeight="25416" activeTab="2" xr2:uid="{00000000-000D-0000-FFFF-FFFF00000000}"/>
  </bookViews>
  <sheets>
    <sheet name="2025-04" sheetId="1" r:id="rId1"/>
    <sheet name="2025-05" sheetId="2" r:id="rId2"/>
    <sheet name="2025-06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5" i="3" l="1"/>
  <c r="I62" i="3"/>
  <c r="I57" i="3"/>
  <c r="G52" i="3"/>
  <c r="G51" i="3"/>
  <c r="I52" i="3" s="1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F28" i="3"/>
  <c r="G28" i="3" s="1"/>
  <c r="F27" i="3"/>
  <c r="G27" i="3" s="1"/>
  <c r="F26" i="3"/>
  <c r="G26" i="3" s="1"/>
  <c r="G25" i="3"/>
  <c r="F25" i="3"/>
  <c r="F24" i="3"/>
  <c r="G24" i="3" s="1"/>
  <c r="G23" i="3"/>
  <c r="F23" i="3"/>
  <c r="F22" i="3"/>
  <c r="G22" i="3" s="1"/>
  <c r="F21" i="3"/>
  <c r="G21" i="3" s="1"/>
  <c r="F20" i="3"/>
  <c r="G20" i="3" s="1"/>
  <c r="G19" i="3"/>
  <c r="F19" i="3"/>
  <c r="F18" i="3"/>
  <c r="G18" i="3" s="1"/>
  <c r="G17" i="3"/>
  <c r="F17" i="3"/>
  <c r="G16" i="3"/>
  <c r="G15" i="3"/>
  <c r="F14" i="3"/>
  <c r="G14" i="3" s="1"/>
  <c r="G13" i="3"/>
  <c r="G12" i="3"/>
  <c r="G11" i="3"/>
  <c r="F11" i="3"/>
  <c r="G10" i="3"/>
  <c r="F9" i="3"/>
  <c r="G9" i="3" s="1"/>
  <c r="G8" i="3"/>
  <c r="F8" i="3"/>
  <c r="G7" i="3"/>
  <c r="F7" i="3"/>
  <c r="G6" i="3"/>
  <c r="F6" i="3"/>
  <c r="G5" i="3"/>
  <c r="F5" i="3"/>
  <c r="F4" i="3"/>
  <c r="F65" i="3" s="1"/>
  <c r="E67" i="2"/>
  <c r="G60" i="2"/>
  <c r="G59" i="2"/>
  <c r="G58" i="2"/>
  <c r="I57" i="2" s="1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F30" i="2"/>
  <c r="G29" i="2"/>
  <c r="G28" i="2"/>
  <c r="F28" i="2"/>
  <c r="G27" i="2"/>
  <c r="G26" i="2"/>
  <c r="F26" i="2"/>
  <c r="G25" i="2"/>
  <c r="F25" i="2"/>
  <c r="G24" i="2"/>
  <c r="F24" i="2"/>
  <c r="G23" i="2"/>
  <c r="F23" i="2"/>
  <c r="F22" i="2"/>
  <c r="G22" i="2" s="1"/>
  <c r="F21" i="2"/>
  <c r="G21" i="2" s="1"/>
  <c r="G20" i="2"/>
  <c r="F20" i="2"/>
  <c r="G19" i="2"/>
  <c r="F19" i="2"/>
  <c r="G18" i="2"/>
  <c r="F18" i="2"/>
  <c r="G17" i="2"/>
  <c r="F17" i="2"/>
  <c r="G16" i="2"/>
  <c r="G15" i="2"/>
  <c r="F14" i="2"/>
  <c r="G14" i="2" s="1"/>
  <c r="G13" i="2"/>
  <c r="G12" i="2"/>
  <c r="G11" i="2"/>
  <c r="F11" i="2"/>
  <c r="G10" i="2"/>
  <c r="G9" i="2"/>
  <c r="F9" i="2"/>
  <c r="F8" i="2"/>
  <c r="G8" i="2" s="1"/>
  <c r="G7" i="2"/>
  <c r="F7" i="2"/>
  <c r="F6" i="2"/>
  <c r="G6" i="2" s="1"/>
  <c r="G5" i="2"/>
  <c r="F5" i="2"/>
  <c r="F4" i="2"/>
  <c r="G4" i="2" s="1"/>
  <c r="G67" i="2" s="1"/>
  <c r="E65" i="1"/>
  <c r="G60" i="1"/>
  <c r="F60" i="1"/>
  <c r="G59" i="1"/>
  <c r="F59" i="1"/>
  <c r="G58" i="1"/>
  <c r="F58" i="1"/>
  <c r="G57" i="1"/>
  <c r="I62" i="1" s="1"/>
  <c r="F57" i="1"/>
  <c r="F56" i="1"/>
  <c r="G56" i="1" s="1"/>
  <c r="F55" i="1"/>
  <c r="G55" i="1" s="1"/>
  <c r="G54" i="1"/>
  <c r="F54" i="1"/>
  <c r="G53" i="1"/>
  <c r="F53" i="1"/>
  <c r="G52" i="1"/>
  <c r="F52" i="1"/>
  <c r="G51" i="1"/>
  <c r="F51" i="1"/>
  <c r="F50" i="1"/>
  <c r="G50" i="1" s="1"/>
  <c r="G49" i="1"/>
  <c r="F49" i="1"/>
  <c r="G48" i="1"/>
  <c r="F48" i="1"/>
  <c r="G47" i="1"/>
  <c r="F47" i="1"/>
  <c r="G46" i="1"/>
  <c r="F46" i="1"/>
  <c r="G45" i="1"/>
  <c r="F45" i="1"/>
  <c r="F44" i="1"/>
  <c r="G44" i="1" s="1"/>
  <c r="G43" i="1"/>
  <c r="F43" i="1"/>
  <c r="G42" i="1"/>
  <c r="F42" i="1"/>
  <c r="F41" i="1"/>
  <c r="G41" i="1" s="1"/>
  <c r="F40" i="1"/>
  <c r="G40" i="1" s="1"/>
  <c r="F39" i="1"/>
  <c r="G39" i="1" s="1"/>
  <c r="F38" i="1"/>
  <c r="G38" i="1" s="1"/>
  <c r="G37" i="1"/>
  <c r="F37" i="1"/>
  <c r="F36" i="1"/>
  <c r="G36" i="1" s="1"/>
  <c r="G35" i="1"/>
  <c r="F35" i="1"/>
  <c r="G34" i="1"/>
  <c r="F34" i="1"/>
  <c r="G33" i="1"/>
  <c r="F33" i="1"/>
  <c r="F32" i="1"/>
  <c r="G32" i="1" s="1"/>
  <c r="G31" i="1"/>
  <c r="F31" i="1"/>
  <c r="G30" i="1"/>
  <c r="F30" i="1"/>
  <c r="G29" i="1"/>
  <c r="F29" i="1"/>
  <c r="G28" i="1"/>
  <c r="F28" i="1"/>
  <c r="G27" i="1"/>
  <c r="F27" i="1"/>
  <c r="F26" i="1"/>
  <c r="G26" i="1" s="1"/>
  <c r="G25" i="1"/>
  <c r="F25" i="1"/>
  <c r="F24" i="1"/>
  <c r="G24" i="1" s="1"/>
  <c r="G23" i="1"/>
  <c r="F23" i="1"/>
  <c r="G22" i="1"/>
  <c r="F22" i="1"/>
  <c r="G21" i="1"/>
  <c r="F21" i="1"/>
  <c r="F20" i="1"/>
  <c r="G20" i="1" s="1"/>
  <c r="G19" i="1"/>
  <c r="F19" i="1"/>
  <c r="F18" i="1"/>
  <c r="G18" i="1" s="1"/>
  <c r="G17" i="1"/>
  <c r="F17" i="1"/>
  <c r="G16" i="1"/>
  <c r="F16" i="1"/>
  <c r="G15" i="1"/>
  <c r="F15" i="1"/>
  <c r="F14" i="1"/>
  <c r="G14" i="1" s="1"/>
  <c r="G13" i="1"/>
  <c r="F13" i="1"/>
  <c r="F12" i="1"/>
  <c r="G12" i="1" s="1"/>
  <c r="G11" i="1"/>
  <c r="F11" i="1"/>
  <c r="G10" i="1"/>
  <c r="F10" i="1"/>
  <c r="G9" i="1"/>
  <c r="F9" i="1"/>
  <c r="F8" i="1"/>
  <c r="G8" i="1" s="1"/>
  <c r="G7" i="1"/>
  <c r="F7" i="1"/>
  <c r="F6" i="1"/>
  <c r="G6" i="1" s="1"/>
  <c r="G5" i="1"/>
  <c r="F5" i="1"/>
  <c r="G4" i="1"/>
  <c r="F4" i="1"/>
  <c r="F65" i="1" s="1"/>
  <c r="G4" i="3" l="1"/>
  <c r="G65" i="3" s="1"/>
  <c r="F67" i="2"/>
  <c r="G65" i="1"/>
  <c r="I41" i="1"/>
</calcChain>
</file>

<file path=xl/sharedStrings.xml><?xml version="1.0" encoding="utf-8"?>
<sst xmlns="http://schemas.openxmlformats.org/spreadsheetml/2006/main" count="836" uniqueCount="263">
  <si>
    <t>2025.04월</t>
    <phoneticPr fontId="3" type="noConversion"/>
  </si>
  <si>
    <r>
      <rPr>
        <sz val="16"/>
        <color indexed="8"/>
        <rFont val="돋움"/>
        <family val="3"/>
        <charset val="129"/>
      </rPr>
      <t xml:space="preserve">                                 </t>
    </r>
    <r>
      <rPr>
        <u/>
        <sz val="16"/>
        <color indexed="8"/>
        <rFont val="돋움"/>
        <family val="3"/>
        <charset val="129"/>
      </rPr>
      <t xml:space="preserve"> 매입 세금계산서 목록</t>
    </r>
  </si>
  <si>
    <t>일     자</t>
  </si>
  <si>
    <t>상     호</t>
  </si>
  <si>
    <t>사업자등록번호</t>
  </si>
  <si>
    <t>적     요</t>
  </si>
  <si>
    <t>공급가액</t>
  </si>
  <si>
    <t>세  금</t>
  </si>
  <si>
    <t>합  계</t>
  </si>
  <si>
    <t>비고</t>
  </si>
  <si>
    <t>(226면)</t>
    <phoneticPr fontId="3" type="noConversion"/>
  </si>
  <si>
    <t>㈜삼천리</t>
  </si>
  <si>
    <t>116-81-00755</t>
  </si>
  <si>
    <t>기숙사4 도시가스료(106)</t>
    <phoneticPr fontId="3" type="noConversion"/>
  </si>
  <si>
    <t>전자</t>
  </si>
  <si>
    <t>살리,라제스</t>
  </si>
  <si>
    <t>"</t>
  </si>
  <si>
    <t>기숙사6 도시가스료(207)</t>
    <phoneticPr fontId="3" type="noConversion"/>
  </si>
  <si>
    <t>비노드</t>
    <phoneticPr fontId="3" type="noConversion"/>
  </si>
  <si>
    <t>기숙사7 도시가스료</t>
  </si>
  <si>
    <t>김용국</t>
  </si>
  <si>
    <t>기숙사8 도시가스료(105)</t>
    <phoneticPr fontId="3" type="noConversion"/>
  </si>
  <si>
    <t>지브라,마니스</t>
  </si>
  <si>
    <t>기숙사9 도시가스료(203)</t>
    <phoneticPr fontId="3" type="noConversion"/>
  </si>
  <si>
    <t>자슈</t>
    <phoneticPr fontId="3" type="noConversion"/>
  </si>
  <si>
    <t>기숙사10 도시가스료(302)</t>
    <phoneticPr fontId="3" type="noConversion"/>
  </si>
  <si>
    <t>일험,바의즐러</t>
    <phoneticPr fontId="3" type="noConversion"/>
  </si>
  <si>
    <t>본점 도시가스료</t>
  </si>
  <si>
    <t>한국산업안전관리원㈜</t>
  </si>
  <si>
    <t>134-81-59671</t>
  </si>
  <si>
    <t xml:space="preserve"> 안전관리회비</t>
    <phoneticPr fontId="3" type="noConversion"/>
  </si>
  <si>
    <t>SK Telecom㈜</t>
  </si>
  <si>
    <t>104-81-37225</t>
  </si>
  <si>
    <t>휴대폰(010-3664-7179)</t>
  </si>
  <si>
    <t>휴대폰(010-7504-4043)</t>
  </si>
  <si>
    <t>유일종합사무기기</t>
    <phoneticPr fontId="3" type="noConversion"/>
  </si>
  <si>
    <t>134-02-76850</t>
  </si>
  <si>
    <t>복합기 렌탈료 외</t>
  </si>
  <si>
    <t>LG유플러스㈜</t>
    <phoneticPr fontId="3" type="noConversion"/>
  </si>
  <si>
    <t>220-81-39938</t>
    <phoneticPr fontId="3" type="noConversion"/>
  </si>
  <si>
    <t>일반 및 팩스전화료</t>
  </si>
  <si>
    <t>한국전력공사</t>
  </si>
  <si>
    <t>120-82-00052</t>
  </si>
  <si>
    <t>본점 전기료</t>
  </si>
  <si>
    <t>㈜에스원 안산</t>
  </si>
  <si>
    <t>208-81-13302</t>
  </si>
  <si>
    <t>본점보안용역비</t>
  </si>
  <si>
    <t>㈜에스원 안산</t>
    <phoneticPr fontId="3" type="noConversion"/>
  </si>
  <si>
    <t>정보보안서비스비</t>
  </si>
  <si>
    <t>기숙사1 도시가스료</t>
  </si>
  <si>
    <t>김장교</t>
  </si>
  <si>
    <t>기숙사2 도시가스료</t>
    <phoneticPr fontId="3" type="noConversion"/>
  </si>
  <si>
    <t>김준교</t>
    <phoneticPr fontId="3" type="noConversion"/>
  </si>
  <si>
    <t>기숙사5 도시가스료</t>
  </si>
  <si>
    <t>정주희</t>
  </si>
  <si>
    <t>"</t>
    <phoneticPr fontId="3" type="noConversion"/>
  </si>
  <si>
    <t>기숙사11 도시가스료</t>
  </si>
  <si>
    <t>정경희</t>
  </si>
  <si>
    <t>기숙사3 도시가스료</t>
  </si>
  <si>
    <t>노혜경</t>
    <phoneticPr fontId="3" type="noConversion"/>
  </si>
  <si>
    <t>㈜삼보소방이엔씨</t>
  </si>
  <si>
    <t>134-86-08032</t>
  </si>
  <si>
    <t>소방시설관리대행료</t>
  </si>
  <si>
    <t>웹케시㈜</t>
  </si>
  <si>
    <t>214-86-35102</t>
  </si>
  <si>
    <t>SERP전산 월정료</t>
  </si>
  <si>
    <t>㈜명성전기기술</t>
  </si>
  <si>
    <t>140-81-92923</t>
  </si>
  <si>
    <t xml:space="preserve"> 전기안전관리수수료</t>
    <phoneticPr fontId="3" type="noConversion"/>
  </si>
  <si>
    <t>오티스서비스엑스퍼트 유한회사</t>
    <phoneticPr fontId="3" type="noConversion"/>
  </si>
  <si>
    <t>835-87-01968</t>
  </si>
  <si>
    <t>2025년2월 점검료</t>
    <phoneticPr fontId="3" type="noConversion"/>
  </si>
  <si>
    <t>예일세무법인경인지점</t>
  </si>
  <si>
    <t>140-85-22406</t>
  </si>
  <si>
    <t>법인조정료</t>
  </si>
  <si>
    <t>2025-04-01</t>
  </si>
  <si>
    <t>오성회계법인 강남센타</t>
  </si>
  <si>
    <t>628-85-02410</t>
  </si>
  <si>
    <t>2025년 회계감사 수수료 계약금</t>
  </si>
  <si>
    <t>2025-04-08</t>
  </si>
  <si>
    <t>튜닝플러스컨설팅</t>
  </si>
  <si>
    <t>494-57-00801</t>
  </si>
  <si>
    <t>구조변경(적재함보강 카고) 비용, 826루8774, 마이티</t>
  </si>
  <si>
    <t>2025-04-09</t>
  </si>
  <si>
    <t>(주）서현SC</t>
  </si>
  <si>
    <t>123-81-89398</t>
  </si>
  <si>
    <t>방진복(상하의)</t>
  </si>
  <si>
    <t>2025-04-10</t>
  </si>
  <si>
    <t>코웨이(주)</t>
  </si>
  <si>
    <t>307-81-06054</t>
  </si>
  <si>
    <t>CHP-7211N_WT/정수기</t>
  </si>
  <si>
    <t>(재) 대한건설기계안전관리원 경기건설기계검사소</t>
  </si>
  <si>
    <t>123-82-07976</t>
  </si>
  <si>
    <t>경기04러3002</t>
  </si>
  <si>
    <t>2025-04-16</t>
  </si>
  <si>
    <t>신화전기</t>
  </si>
  <si>
    <t>134-23-25749</t>
  </si>
  <si>
    <t>소방보수공사</t>
  </si>
  <si>
    <t>5/7 신화전기송금(+)</t>
    <phoneticPr fontId="3" type="noConversion"/>
  </si>
  <si>
    <t>주식회사 플러스전기</t>
  </si>
  <si>
    <t>111-86-00018</t>
  </si>
  <si>
    <t>전기보수</t>
  </si>
  <si>
    <t>2025-04-04</t>
  </si>
  <si>
    <t>(주) 동선</t>
  </si>
  <si>
    <t>140-81-53973</t>
  </si>
  <si>
    <t>케이싱(호파) 내.외부 쇼트작업</t>
  </si>
  <si>
    <t>2025-04-14</t>
  </si>
  <si>
    <t>2025-04-18</t>
  </si>
  <si>
    <t>2025-04-23</t>
  </si>
  <si>
    <t>2025-04-21</t>
  </si>
  <si>
    <t>호이스트보수공사</t>
  </si>
  <si>
    <t>134-08-34416</t>
  </si>
  <si>
    <t>쇼트기타이머</t>
  </si>
  <si>
    <t>신명종합모타전기</t>
  </si>
  <si>
    <t>134-24-91440</t>
  </si>
  <si>
    <t>20hp-고효율모터납품</t>
  </si>
  <si>
    <t>7/2 신명종합모터전기  송금(+)</t>
    <phoneticPr fontId="3" type="noConversion"/>
  </si>
  <si>
    <t>방진복외</t>
  </si>
  <si>
    <t>2025-04-24</t>
  </si>
  <si>
    <t>안산시 산업지원본부</t>
  </si>
  <si>
    <t>134-83-01756</t>
  </si>
  <si>
    <t>경기도 안산시 단원구 성곡동  611-8번지 도로점용료</t>
  </si>
  <si>
    <t>모터교체</t>
  </si>
  <si>
    <t>2025-04-26</t>
  </si>
  <si>
    <t>영크린</t>
  </si>
  <si>
    <t>127-34-55770</t>
  </si>
  <si>
    <t>4월 청소대금</t>
  </si>
  <si>
    <t>2025-04-30</t>
  </si>
  <si>
    <t>해성환경</t>
  </si>
  <si>
    <t>428-08-00238</t>
  </si>
  <si>
    <t>폐합성수지</t>
  </si>
  <si>
    <t>(주)케이씨씨상사</t>
  </si>
  <si>
    <t>140-81-53366</t>
  </si>
  <si>
    <t>EPP5500-황색 말</t>
  </si>
  <si>
    <t>주식회사 신진켐</t>
  </si>
  <si>
    <t>131-86-61358</t>
  </si>
  <si>
    <t>(SJP)PFG GY3270 그레이 외 6건</t>
  </si>
  <si>
    <t>(주)아신티엔에프</t>
  </si>
  <si>
    <t>129-86-55080</t>
  </si>
  <si>
    <t>내열테이프(진녹) 외 1건</t>
  </si>
  <si>
    <t>새한신용정보(주) 에이스전략본부</t>
  </si>
  <si>
    <t>202-81-43754</t>
  </si>
  <si>
    <t>추심수수료(시온레이저(주))</t>
  </si>
  <si>
    <t>(주)정원지엔티</t>
  </si>
  <si>
    <t>134-86-09462</t>
  </si>
  <si>
    <t>샌드페파(3M) 5"*6H(#80) 775L EA</t>
  </si>
  <si>
    <t>(주)매일금속</t>
  </si>
  <si>
    <t>241-86-02957</t>
  </si>
  <si>
    <t>후레임 쇼트</t>
  </si>
  <si>
    <t>한국쇼트기계 주식회사</t>
  </si>
  <si>
    <t>134-86-06349</t>
  </si>
  <si>
    <t>임펠라수리및부품</t>
  </si>
  <si>
    <t>전자</t>
    <phoneticPr fontId="3" type="noConversion"/>
  </si>
  <si>
    <t>전라도식당</t>
  </si>
  <si>
    <t>436-20-01583</t>
  </si>
  <si>
    <t>식대</t>
  </si>
  <si>
    <t>한국마쯔야마상사</t>
  </si>
  <si>
    <t>140-01-38456</t>
  </si>
  <si>
    <t>청보호테이프외 소모자재</t>
  </si>
  <si>
    <t>대운도료상사</t>
  </si>
  <si>
    <t>140-05-35345</t>
  </si>
  <si>
    <t>페인트외</t>
  </si>
  <si>
    <t>신천리상사</t>
  </si>
  <si>
    <t>107-02-28259</t>
  </si>
  <si>
    <t>페인트</t>
  </si>
  <si>
    <t>오색페인트</t>
  </si>
  <si>
    <t>467-23-01647</t>
  </si>
  <si>
    <t>HG-CMBK0010(G) BLACK 유광 양지휠</t>
  </si>
  <si>
    <t>2025-04-07</t>
  </si>
  <si>
    <t>법무사박성수사무소</t>
  </si>
  <si>
    <t>101-01-72823</t>
  </si>
  <si>
    <t>소송</t>
  </si>
  <si>
    <t>2025.05월</t>
    <phoneticPr fontId="3" type="noConversion"/>
  </si>
  <si>
    <t>주식회사 보광엘리베이터</t>
    <phoneticPr fontId="3" type="noConversion"/>
  </si>
  <si>
    <t>138-81-01526</t>
  </si>
  <si>
    <t>화물용 승강기 부분교체 공사 계약금</t>
    <phoneticPr fontId="3" type="noConversion"/>
  </si>
  <si>
    <t>주식회사 보광엘리베이터 송금(+)2025.05.27</t>
    <phoneticPr fontId="3" type="noConversion"/>
  </si>
  <si>
    <t>조정료</t>
  </si>
  <si>
    <t>2025-05-31</t>
  </si>
  <si>
    <t>(SJP)HMG-NY 2.5Y8/14 옐로우#SJT</t>
  </si>
  <si>
    <t>내열테이프(진녹) 외 2건</t>
  </si>
  <si>
    <t>(주)성보로지스틱</t>
  </si>
  <si>
    <t>140-81-71608</t>
  </si>
  <si>
    <t>운송료</t>
  </si>
  <si>
    <t>2025-05-30</t>
  </si>
  <si>
    <t>추심수수료((주)글로벌로보틱스)</t>
  </si>
  <si>
    <t>(주)플러스테크</t>
  </si>
  <si>
    <t>134-87-15791</t>
  </si>
  <si>
    <t>체인오일</t>
  </si>
  <si>
    <t>지급명령</t>
  </si>
  <si>
    <t>경기 그린 유통</t>
  </si>
  <si>
    <t>312-44-00421</t>
  </si>
  <si>
    <t>샘물</t>
  </si>
  <si>
    <t>2025-05-28</t>
  </si>
  <si>
    <t>해피지게차</t>
  </si>
  <si>
    <t>140-08-84468</t>
  </si>
  <si>
    <t>모타스피드센서외</t>
  </si>
  <si>
    <t>2025-05-09</t>
  </si>
  <si>
    <t>연료휠타외</t>
  </si>
  <si>
    <t>2025-05-27</t>
  </si>
  <si>
    <t xml:space="preserve">HG-CMBG0315(S) RAL-7032 반광 </t>
  </si>
  <si>
    <t>2025-05-26</t>
  </si>
  <si>
    <t>2025-05-25</t>
  </si>
  <si>
    <t>5월 청소대금</t>
  </si>
  <si>
    <t>2025-05-23</t>
  </si>
  <si>
    <t>토탈도장기</t>
  </si>
  <si>
    <t>138-05-57268</t>
  </si>
  <si>
    <t>스프레이건외</t>
  </si>
  <si>
    <t>2025-05-14</t>
  </si>
  <si>
    <t>2025-05-12</t>
  </si>
  <si>
    <t>주식회사 대림파우다</t>
    <phoneticPr fontId="3" type="noConversion"/>
  </si>
  <si>
    <t>639-81-01811</t>
  </si>
  <si>
    <t>물품대금</t>
  </si>
  <si>
    <t>주식회사 대림파우다 송금(+)</t>
    <phoneticPr fontId="3" type="noConversion"/>
  </si>
  <si>
    <t>2025-05-10</t>
  </si>
  <si>
    <t>2025-05-08</t>
  </si>
  <si>
    <t>중소기업은행</t>
  </si>
  <si>
    <t>202-81-00978</t>
  </si>
  <si>
    <t>인증서발급수수료</t>
  </si>
  <si>
    <t>한국평가데이터(주)</t>
  </si>
  <si>
    <t>105-86-75080</t>
  </si>
  <si>
    <t>신용정보서비스수수료</t>
  </si>
  <si>
    <t>선진산업</t>
  </si>
  <si>
    <t>119-14-51697</t>
  </si>
  <si>
    <t>분체필터</t>
  </si>
  <si>
    <t>선진산업 송금(+) 2025.07.01</t>
    <phoneticPr fontId="3" type="noConversion"/>
  </si>
  <si>
    <t>2025-05-20</t>
  </si>
  <si>
    <t>케이싱(호파) 내,.외부 쇼트작업</t>
  </si>
  <si>
    <t>2025-05-01</t>
  </si>
  <si>
    <t>2025.06월</t>
    <phoneticPr fontId="3" type="noConversion"/>
  </si>
  <si>
    <t>244p</t>
    <phoneticPr fontId="3" type="noConversion"/>
  </si>
  <si>
    <t>2025-06-30</t>
  </si>
  <si>
    <t>(동서)락카스프레이-D54506(현켐) 외 4건</t>
  </si>
  <si>
    <t>245p</t>
    <phoneticPr fontId="3" type="noConversion"/>
  </si>
  <si>
    <t>방진복(투피스)외</t>
  </si>
  <si>
    <t>2025-06-29</t>
  </si>
  <si>
    <t>한길카본텍</t>
  </si>
  <si>
    <t>748-24-01164</t>
  </si>
  <si>
    <t>활성탄 교체공사</t>
  </si>
  <si>
    <t>2025-06-27</t>
  </si>
  <si>
    <t>2025-06-25</t>
  </si>
  <si>
    <t>6월 청소 대금</t>
  </si>
  <si>
    <t>주식회사 가보상사</t>
  </si>
  <si>
    <t>137-81-88777</t>
  </si>
  <si>
    <t>CUT WIRE SHOT</t>
  </si>
  <si>
    <t>2025-06-24</t>
  </si>
  <si>
    <t>주식회사 대림파우다</t>
  </si>
  <si>
    <t>폐분체도료</t>
  </si>
  <si>
    <t xml:space="preserve">2025.08.29 대리파우다 </t>
    <phoneticPr fontId="3" type="noConversion"/>
  </si>
  <si>
    <t>배터리</t>
  </si>
  <si>
    <t>2025-06-20</t>
  </si>
  <si>
    <t>추심수수료((주)대일테크놀로지)</t>
  </si>
  <si>
    <t>2025-06-18</t>
  </si>
  <si>
    <t>하부스크류 스프라켓+체인 교체</t>
  </si>
  <si>
    <t>2025-06-16</t>
  </si>
  <si>
    <t>(주)조은환경안전기술</t>
  </si>
  <si>
    <t>898-87-00392</t>
  </si>
  <si>
    <t>화학물질통계조사(2024년)</t>
  </si>
  <si>
    <t>2025-06-11</t>
  </si>
  <si>
    <t>쇼트기수리</t>
  </si>
  <si>
    <t>2025-06-10</t>
  </si>
  <si>
    <t>2025-06-13</t>
  </si>
  <si>
    <t>2025-06-04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</si>
</sst>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월&quot;\ d&quot;일&quot;;@"/>
    <numFmt numFmtId="177" formatCode="###,##0"/>
  </numFmts>
  <fonts count="13" x14ac:knownFonts="1">
    <font>
      <sz val="11"/>
      <color theme="1"/>
      <name val="맑은 고딕"/>
      <family val="2"/>
      <scheme val="minor"/>
    </font>
    <font>
      <sz val="10"/>
      <color indexed="8"/>
      <name val="돋움"/>
      <family val="3"/>
      <charset val="129"/>
    </font>
    <font>
      <sz val="8"/>
      <name val="맑은 고딕"/>
      <family val="3"/>
      <charset val="129"/>
      <scheme val="minor"/>
    </font>
    <font>
      <sz val="8"/>
      <name val="돋움"/>
      <family val="3"/>
      <charset val="129"/>
    </font>
    <font>
      <sz val="9"/>
      <color indexed="8"/>
      <name val="돋움"/>
      <family val="3"/>
      <charset val="129"/>
    </font>
    <font>
      <u/>
      <sz val="16"/>
      <color indexed="8"/>
      <name val="돋움"/>
      <family val="3"/>
      <charset val="129"/>
    </font>
    <font>
      <sz val="16"/>
      <color indexed="8"/>
      <name val="돋움"/>
      <family val="3"/>
      <charset val="129"/>
    </font>
    <font>
      <sz val="8"/>
      <color indexed="8"/>
      <name val="돋움"/>
      <family val="3"/>
      <charset val="129"/>
    </font>
    <font>
      <sz val="9"/>
      <color indexed="8"/>
      <name val="맑은 고딕"/>
      <family val="3"/>
      <charset val="129"/>
    </font>
    <font>
      <sz val="9"/>
      <name val="맑은 고딕"/>
      <family val="3"/>
      <charset val="129"/>
    </font>
    <font>
      <sz val="9"/>
      <color rgb="FF111111"/>
      <name val="맑은 고딕"/>
      <family val="3"/>
      <charset val="129"/>
    </font>
    <font>
      <sz val="9"/>
      <name val="돋움"/>
      <family val="3"/>
      <charset val="129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8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8"/>
      </top>
      <bottom/>
      <diagonal/>
    </border>
    <border>
      <left style="thin">
        <color indexed="64"/>
      </left>
      <right style="medium">
        <color indexed="64"/>
      </right>
      <top style="medium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/>
      <right style="thin">
        <color indexed="64"/>
      </right>
      <top style="thick">
        <color indexed="8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03">
    <xf numFmtId="0" fontId="0" fillId="0" borderId="0" xfId="0"/>
    <xf numFmtId="176" fontId="1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176" fontId="1" fillId="0" borderId="1" xfId="0" applyNumberFormat="1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right" vertical="center"/>
    </xf>
    <xf numFmtId="0" fontId="8" fillId="0" borderId="2" xfId="0" applyFont="1" applyBorder="1" applyAlignment="1">
      <alignment horizontal="center" vertical="center"/>
    </xf>
    <xf numFmtId="0" fontId="8" fillId="0" borderId="5" xfId="0" applyFont="1" applyBorder="1" applyAlignment="1">
      <alignment vertical="center"/>
    </xf>
    <xf numFmtId="177" fontId="9" fillId="0" borderId="5" xfId="0" applyNumberFormat="1" applyFont="1" applyBorder="1" applyAlignment="1">
      <alignment horizontal="right" vertical="center"/>
    </xf>
    <xf numFmtId="3" fontId="8" fillId="0" borderId="6" xfId="0" applyNumberFormat="1" applyFont="1" applyBorder="1" applyAlignment="1">
      <alignment horizontal="right" vertical="center"/>
    </xf>
    <xf numFmtId="3" fontId="8" fillId="0" borderId="7" xfId="0" applyNumberFormat="1" applyFont="1" applyBorder="1" applyAlignment="1">
      <alignment horizontal="right" vertical="center"/>
    </xf>
    <xf numFmtId="0" fontId="4" fillId="0" borderId="8" xfId="0" applyFont="1" applyBorder="1" applyAlignment="1">
      <alignment horizontal="center" vertical="center"/>
    </xf>
    <xf numFmtId="176" fontId="7" fillId="0" borderId="9" xfId="0" applyNumberFormat="1" applyFont="1" applyBorder="1" applyAlignment="1">
      <alignment horizontal="right" vertical="center"/>
    </xf>
    <xf numFmtId="0" fontId="8" fillId="0" borderId="10" xfId="0" applyFont="1" applyBorder="1" applyAlignment="1">
      <alignment horizontal="center" vertical="center"/>
    </xf>
    <xf numFmtId="0" fontId="8" fillId="0" borderId="6" xfId="0" applyFont="1" applyBorder="1" applyAlignment="1">
      <alignment vertical="center"/>
    </xf>
    <xf numFmtId="177" fontId="9" fillId="0" borderId="6" xfId="0" applyNumberFormat="1" applyFont="1" applyBorder="1" applyAlignment="1">
      <alignment horizontal="right" vertical="center"/>
    </xf>
    <xf numFmtId="0" fontId="4" fillId="0" borderId="11" xfId="0" applyFont="1" applyBorder="1" applyAlignment="1">
      <alignment horizontal="center" vertical="center"/>
    </xf>
    <xf numFmtId="3" fontId="8" fillId="2" borderId="6" xfId="0" applyNumberFormat="1" applyFont="1" applyFill="1" applyBorder="1" applyAlignment="1">
      <alignment horizontal="right" vertical="center"/>
    </xf>
    <xf numFmtId="3" fontId="9" fillId="0" borderId="6" xfId="0" applyNumberFormat="1" applyFont="1" applyBorder="1" applyAlignment="1">
      <alignment horizontal="right" vertical="center"/>
    </xf>
    <xf numFmtId="0" fontId="8" fillId="0" borderId="12" xfId="0" applyFont="1" applyBorder="1" applyAlignment="1">
      <alignment vertical="center"/>
    </xf>
    <xf numFmtId="177" fontId="9" fillId="0" borderId="13" xfId="0" applyNumberFormat="1" applyFont="1" applyBorder="1" applyAlignment="1">
      <alignment horizontal="right" vertical="center"/>
    </xf>
    <xf numFmtId="3" fontId="8" fillId="0" borderId="12" xfId="0" applyNumberFormat="1" applyFont="1" applyBorder="1" applyAlignment="1">
      <alignment horizontal="right" vertical="center"/>
    </xf>
    <xf numFmtId="177" fontId="9" fillId="0" borderId="14" xfId="0" applyNumberFormat="1" applyFont="1" applyBorder="1" applyAlignment="1">
      <alignment horizontal="right" vertical="center"/>
    </xf>
    <xf numFmtId="0" fontId="8" fillId="0" borderId="12" xfId="0" applyFont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17" xfId="0" applyFont="1" applyBorder="1" applyAlignment="1">
      <alignment vertical="center"/>
    </xf>
    <xf numFmtId="0" fontId="4" fillId="0" borderId="18" xfId="0" applyFont="1" applyBorder="1" applyAlignment="1">
      <alignment horizontal="center" vertical="center"/>
    </xf>
    <xf numFmtId="3" fontId="4" fillId="0" borderId="0" xfId="0" applyNumberFormat="1" applyFont="1" applyAlignment="1">
      <alignment vertical="center"/>
    </xf>
    <xf numFmtId="0" fontId="8" fillId="0" borderId="6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vertical="center"/>
    </xf>
    <xf numFmtId="3" fontId="10" fillId="0" borderId="6" xfId="0" applyNumberFormat="1" applyFont="1" applyBorder="1" applyAlignment="1">
      <alignment vertical="center"/>
    </xf>
    <xf numFmtId="3" fontId="10" fillId="3" borderId="6" xfId="0" applyNumberFormat="1" applyFont="1" applyFill="1" applyBorder="1" applyAlignment="1">
      <alignment horizontal="right" vertical="center" wrapText="1"/>
    </xf>
    <xf numFmtId="176" fontId="7" fillId="0" borderId="21" xfId="0" applyNumberFormat="1" applyFont="1" applyBorder="1" applyAlignment="1">
      <alignment horizontal="right" vertical="center"/>
    </xf>
    <xf numFmtId="0" fontId="9" fillId="0" borderId="14" xfId="0" applyFont="1" applyBorder="1" applyAlignment="1">
      <alignment horizontal="center" vertical="center"/>
    </xf>
    <xf numFmtId="0" fontId="9" fillId="0" borderId="14" xfId="0" applyFont="1" applyBorder="1" applyAlignment="1">
      <alignment vertical="center"/>
    </xf>
    <xf numFmtId="3" fontId="8" fillId="0" borderId="22" xfId="0" applyNumberFormat="1" applyFont="1" applyBorder="1" applyAlignment="1">
      <alignment horizontal="right" vertical="center"/>
    </xf>
    <xf numFmtId="0" fontId="8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vertical="center"/>
    </xf>
    <xf numFmtId="177" fontId="9" fillId="0" borderId="25" xfId="0" applyNumberFormat="1" applyFont="1" applyBorder="1" applyAlignment="1">
      <alignment horizontal="right" vertical="center"/>
    </xf>
    <xf numFmtId="3" fontId="8" fillId="0" borderId="26" xfId="0" applyNumberFormat="1" applyFont="1" applyBorder="1" applyAlignment="1">
      <alignment horizontal="right" vertical="center"/>
    </xf>
    <xf numFmtId="0" fontId="4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3" fontId="8" fillId="0" borderId="29" xfId="0" applyNumberFormat="1" applyFont="1" applyBorder="1" applyAlignment="1">
      <alignment horizontal="right" vertical="center"/>
    </xf>
    <xf numFmtId="3" fontId="0" fillId="0" borderId="0" xfId="0" applyNumberFormat="1" applyAlignment="1">
      <alignment vertical="center"/>
    </xf>
    <xf numFmtId="0" fontId="0" fillId="0" borderId="28" xfId="0" applyBorder="1" applyAlignment="1">
      <alignment horizontal="center" vertical="center"/>
    </xf>
    <xf numFmtId="0" fontId="11" fillId="0" borderId="14" xfId="0" applyFont="1" applyBorder="1" applyAlignment="1">
      <alignment vertical="center"/>
    </xf>
    <xf numFmtId="0" fontId="0" fillId="0" borderId="14" xfId="0" applyBorder="1" applyAlignment="1">
      <alignment vertical="center"/>
    </xf>
    <xf numFmtId="177" fontId="11" fillId="0" borderId="14" xfId="0" applyNumberFormat="1" applyFont="1" applyBorder="1" applyAlignment="1">
      <alignment horizontal="right" vertical="center"/>
    </xf>
    <xf numFmtId="3" fontId="4" fillId="0" borderId="12" xfId="0" applyNumberFormat="1" applyFont="1" applyBorder="1" applyAlignment="1">
      <alignment horizontal="right" vertical="center"/>
    </xf>
    <xf numFmtId="3" fontId="4" fillId="0" borderId="29" xfId="0" applyNumberFormat="1" applyFont="1" applyBorder="1" applyAlignment="1">
      <alignment horizontal="right" vertical="center"/>
    </xf>
    <xf numFmtId="0" fontId="0" fillId="0" borderId="28" xfId="0" applyBorder="1" applyAlignment="1">
      <alignment horizontal="right" vertical="center"/>
    </xf>
    <xf numFmtId="0" fontId="11" fillId="0" borderId="30" xfId="0" applyFont="1" applyBorder="1" applyAlignment="1">
      <alignment horizontal="right" vertical="center"/>
    </xf>
    <xf numFmtId="0" fontId="4" fillId="0" borderId="31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0" borderId="31" xfId="0" applyFont="1" applyBorder="1" applyAlignment="1">
      <alignment vertical="center"/>
    </xf>
    <xf numFmtId="3" fontId="4" fillId="0" borderId="31" xfId="0" applyNumberFormat="1" applyFont="1" applyBorder="1" applyAlignment="1">
      <alignment horizontal="right" vertical="center"/>
    </xf>
    <xf numFmtId="3" fontId="4" fillId="0" borderId="32" xfId="0" applyNumberFormat="1" applyFont="1" applyBorder="1" applyAlignment="1">
      <alignment horizontal="right" vertical="center"/>
    </xf>
    <xf numFmtId="0" fontId="0" fillId="0" borderId="33" xfId="0" applyBorder="1" applyAlignment="1">
      <alignment horizontal="center" vertical="center"/>
    </xf>
    <xf numFmtId="176" fontId="8" fillId="0" borderId="4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76" fontId="8" fillId="0" borderId="9" xfId="0" applyNumberFormat="1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3" fontId="10" fillId="0" borderId="6" xfId="0" applyNumberFormat="1" applyFont="1" applyBorder="1" applyAlignment="1">
      <alignment horizontal="right" vertical="center"/>
    </xf>
    <xf numFmtId="176" fontId="8" fillId="0" borderId="21" xfId="0" applyNumberFormat="1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176" fontId="8" fillId="0" borderId="34" xfId="0" applyNumberFormat="1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177" fontId="9" fillId="0" borderId="37" xfId="0" applyNumberFormat="1" applyFont="1" applyBorder="1" applyAlignment="1">
      <alignment horizontal="right" vertical="center"/>
    </xf>
    <xf numFmtId="3" fontId="8" fillId="0" borderId="35" xfId="0" applyNumberFormat="1" applyFont="1" applyBorder="1" applyAlignment="1">
      <alignment horizontal="right" vertical="center"/>
    </xf>
    <xf numFmtId="0" fontId="4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177" fontId="9" fillId="0" borderId="40" xfId="0" applyNumberFormat="1" applyFont="1" applyBorder="1" applyAlignment="1">
      <alignment horizontal="right" vertical="center"/>
    </xf>
    <xf numFmtId="3" fontId="8" fillId="0" borderId="41" xfId="0" applyNumberFormat="1" applyFont="1" applyBorder="1" applyAlignment="1">
      <alignment horizontal="right" vertical="center"/>
    </xf>
    <xf numFmtId="0" fontId="4" fillId="0" borderId="42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0" fillId="0" borderId="28" xfId="0" applyBorder="1" applyAlignment="1">
      <alignment vertical="center"/>
    </xf>
    <xf numFmtId="177" fontId="0" fillId="0" borderId="14" xfId="0" applyNumberFormat="1" applyBorder="1" applyAlignment="1">
      <alignment horizontal="right" vertical="center"/>
    </xf>
    <xf numFmtId="177" fontId="9" fillId="0" borderId="43" xfId="0" applyNumberFormat="1" applyFont="1" applyBorder="1" applyAlignment="1">
      <alignment horizontal="right" vertical="center"/>
    </xf>
    <xf numFmtId="0" fontId="9" fillId="0" borderId="44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177" fontId="9" fillId="0" borderId="45" xfId="0" applyNumberFormat="1" applyFont="1" applyBorder="1" applyAlignment="1">
      <alignment horizontal="right" vertical="center"/>
    </xf>
    <xf numFmtId="3" fontId="8" fillId="0" borderId="46" xfId="0" applyNumberFormat="1" applyFont="1" applyBorder="1" applyAlignment="1">
      <alignment horizontal="right" vertical="center"/>
    </xf>
    <xf numFmtId="0" fontId="4" fillId="0" borderId="47" xfId="0" applyFont="1" applyBorder="1" applyAlignment="1">
      <alignment horizontal="center" vertical="center"/>
    </xf>
    <xf numFmtId="177" fontId="9" fillId="0" borderId="14" xfId="0" applyNumberFormat="1" applyFont="1" applyBorder="1" applyAlignment="1">
      <alignment horizontal="center" vertical="center"/>
    </xf>
    <xf numFmtId="3" fontId="8" fillId="0" borderId="29" xfId="0" applyNumberFormat="1" applyFont="1" applyBorder="1" applyAlignment="1">
      <alignment horizontal="center" vertical="center"/>
    </xf>
    <xf numFmtId="0" fontId="12" fillId="0" borderId="28" xfId="0" applyFont="1" applyBorder="1" applyAlignment="1">
      <alignment vertical="center"/>
    </xf>
    <xf numFmtId="0" fontId="12" fillId="0" borderId="14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"/>
  <sheetViews>
    <sheetView workbookViewId="0">
      <selection sqref="A1:J65"/>
    </sheetView>
  </sheetViews>
  <sheetFormatPr defaultRowHeight="17.399999999999999" x14ac:dyDescent="0.4"/>
  <sheetData>
    <row r="1" spans="1:10" ht="20.399999999999999" x14ac:dyDescent="0.4">
      <c r="A1" s="1" t="s">
        <v>0</v>
      </c>
      <c r="B1" s="2"/>
      <c r="C1" s="3" t="s">
        <v>1</v>
      </c>
      <c r="D1" s="4"/>
      <c r="E1" s="5"/>
      <c r="F1" s="5"/>
      <c r="G1" s="5"/>
      <c r="H1" s="6"/>
      <c r="I1" s="7"/>
      <c r="J1" s="7"/>
    </row>
    <row r="2" spans="1:10" ht="18" thickBot="1" x14ac:dyDescent="0.45">
      <c r="A2" s="1"/>
      <c r="B2" s="2"/>
      <c r="C2" s="8"/>
      <c r="D2" s="4"/>
      <c r="E2" s="5"/>
      <c r="F2" s="5"/>
      <c r="G2" s="5"/>
      <c r="H2" s="6"/>
      <c r="I2" s="7"/>
      <c r="J2" s="7"/>
    </row>
    <row r="3" spans="1:10" ht="18" thickBot="1" x14ac:dyDescent="0.45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6" t="s">
        <v>10</v>
      </c>
      <c r="J3" s="6"/>
    </row>
    <row r="4" spans="1:10" x14ac:dyDescent="0.4">
      <c r="A4" s="13"/>
      <c r="B4" s="14" t="s">
        <v>11</v>
      </c>
      <c r="C4" s="14" t="s">
        <v>12</v>
      </c>
      <c r="D4" s="15" t="s">
        <v>13</v>
      </c>
      <c r="E4" s="16">
        <v>74998</v>
      </c>
      <c r="F4" s="17">
        <f>E4*0.1</f>
        <v>7499.8</v>
      </c>
      <c r="G4" s="18">
        <f t="shared" ref="G4:G17" si="0">E4+F4</f>
        <v>82497.8</v>
      </c>
      <c r="H4" s="19" t="s">
        <v>14</v>
      </c>
      <c r="I4" s="4" t="s">
        <v>15</v>
      </c>
      <c r="J4" s="4">
        <v>1</v>
      </c>
    </row>
    <row r="5" spans="1:10" x14ac:dyDescent="0.4">
      <c r="A5" s="20"/>
      <c r="B5" s="21" t="s">
        <v>16</v>
      </c>
      <c r="C5" s="21" t="s">
        <v>16</v>
      </c>
      <c r="D5" s="22" t="s">
        <v>17</v>
      </c>
      <c r="E5" s="23">
        <v>74998</v>
      </c>
      <c r="F5" s="17">
        <f t="shared" ref="F5:F25" si="1">E5*0.1</f>
        <v>7499.8</v>
      </c>
      <c r="G5" s="17">
        <f t="shared" si="0"/>
        <v>82497.8</v>
      </c>
      <c r="H5" s="24" t="s">
        <v>14</v>
      </c>
      <c r="I5" s="4" t="s">
        <v>18</v>
      </c>
      <c r="J5" s="4">
        <v>2</v>
      </c>
    </row>
    <row r="6" spans="1:10" x14ac:dyDescent="0.4">
      <c r="A6" s="20"/>
      <c r="B6" s="21" t="s">
        <v>16</v>
      </c>
      <c r="C6" s="21" t="s">
        <v>16</v>
      </c>
      <c r="D6" s="22" t="s">
        <v>19</v>
      </c>
      <c r="E6" s="25"/>
      <c r="F6" s="17">
        <f t="shared" si="1"/>
        <v>0</v>
      </c>
      <c r="G6" s="17">
        <f t="shared" si="0"/>
        <v>0</v>
      </c>
      <c r="H6" s="24" t="s">
        <v>14</v>
      </c>
      <c r="I6" s="4" t="s">
        <v>20</v>
      </c>
      <c r="J6" s="4">
        <v>3</v>
      </c>
    </row>
    <row r="7" spans="1:10" x14ac:dyDescent="0.4">
      <c r="A7" s="20"/>
      <c r="B7" s="21" t="s">
        <v>16</v>
      </c>
      <c r="C7" s="21" t="s">
        <v>16</v>
      </c>
      <c r="D7" s="22" t="s">
        <v>21</v>
      </c>
      <c r="E7" s="23">
        <v>53918</v>
      </c>
      <c r="F7" s="17">
        <f t="shared" si="1"/>
        <v>5391.8</v>
      </c>
      <c r="G7" s="17">
        <f t="shared" si="0"/>
        <v>59309.8</v>
      </c>
      <c r="H7" s="24" t="s">
        <v>14</v>
      </c>
      <c r="I7" s="4" t="s">
        <v>22</v>
      </c>
      <c r="J7" s="4">
        <v>4</v>
      </c>
    </row>
    <row r="8" spans="1:10" x14ac:dyDescent="0.4">
      <c r="A8" s="20"/>
      <c r="B8" s="21" t="s">
        <v>16</v>
      </c>
      <c r="C8" s="21" t="s">
        <v>16</v>
      </c>
      <c r="D8" s="22" t="s">
        <v>23</v>
      </c>
      <c r="E8" s="23">
        <v>35713</v>
      </c>
      <c r="F8" s="17">
        <f t="shared" si="1"/>
        <v>3571.3</v>
      </c>
      <c r="G8" s="26">
        <f t="shared" si="0"/>
        <v>39284.300000000003</v>
      </c>
      <c r="H8" s="24" t="s">
        <v>14</v>
      </c>
      <c r="I8" s="4" t="s">
        <v>24</v>
      </c>
      <c r="J8" s="4">
        <v>5</v>
      </c>
    </row>
    <row r="9" spans="1:10" x14ac:dyDescent="0.4">
      <c r="A9" s="20"/>
      <c r="B9" s="21" t="s">
        <v>16</v>
      </c>
      <c r="C9" s="21" t="s">
        <v>16</v>
      </c>
      <c r="D9" s="27" t="s">
        <v>25</v>
      </c>
      <c r="E9" s="28">
        <v>80748</v>
      </c>
      <c r="F9" s="17">
        <f t="shared" si="1"/>
        <v>8074.8</v>
      </c>
      <c r="G9" s="29">
        <f t="shared" si="0"/>
        <v>88822.8</v>
      </c>
      <c r="H9" s="24" t="s">
        <v>14</v>
      </c>
      <c r="I9" s="4" t="s">
        <v>26</v>
      </c>
      <c r="J9" s="4">
        <v>6</v>
      </c>
    </row>
    <row r="10" spans="1:10" x14ac:dyDescent="0.4">
      <c r="A10" s="20"/>
      <c r="B10" s="21" t="s">
        <v>16</v>
      </c>
      <c r="C10" s="21" t="s">
        <v>16</v>
      </c>
      <c r="D10" s="22" t="s">
        <v>27</v>
      </c>
      <c r="E10" s="30">
        <v>9696429</v>
      </c>
      <c r="F10" s="17">
        <f t="shared" si="1"/>
        <v>969642.9</v>
      </c>
      <c r="G10" s="29">
        <f t="shared" si="0"/>
        <v>10666071.9</v>
      </c>
      <c r="H10" s="24" t="s">
        <v>14</v>
      </c>
      <c r="I10" s="4"/>
      <c r="J10" s="4">
        <v>7</v>
      </c>
    </row>
    <row r="11" spans="1:10" x14ac:dyDescent="0.4">
      <c r="A11" s="20"/>
      <c r="B11" s="31" t="s">
        <v>28</v>
      </c>
      <c r="C11" s="31" t="s">
        <v>29</v>
      </c>
      <c r="D11" s="32" t="s">
        <v>30</v>
      </c>
      <c r="E11" s="30">
        <v>100000</v>
      </c>
      <c r="F11" s="17">
        <f t="shared" si="1"/>
        <v>10000</v>
      </c>
      <c r="G11" s="17">
        <f t="shared" si="0"/>
        <v>110000</v>
      </c>
      <c r="H11" s="24" t="s">
        <v>14</v>
      </c>
      <c r="I11" s="4"/>
      <c r="J11" s="4">
        <v>8</v>
      </c>
    </row>
    <row r="12" spans="1:10" x14ac:dyDescent="0.4">
      <c r="A12" s="20"/>
      <c r="B12" s="31" t="s">
        <v>31</v>
      </c>
      <c r="C12" s="31" t="s">
        <v>32</v>
      </c>
      <c r="D12" s="33" t="s">
        <v>33</v>
      </c>
      <c r="E12" s="30">
        <v>33396</v>
      </c>
      <c r="F12" s="17">
        <f t="shared" si="1"/>
        <v>3339.6000000000004</v>
      </c>
      <c r="G12" s="29">
        <f t="shared" si="0"/>
        <v>36735.599999999999</v>
      </c>
      <c r="H12" s="24" t="s">
        <v>14</v>
      </c>
      <c r="I12" s="4"/>
      <c r="J12" s="4">
        <v>9</v>
      </c>
    </row>
    <row r="13" spans="1:10" x14ac:dyDescent="0.4">
      <c r="A13" s="20"/>
      <c r="B13" s="21" t="s">
        <v>16</v>
      </c>
      <c r="C13" s="21" t="s">
        <v>16</v>
      </c>
      <c r="D13" s="34" t="s">
        <v>34</v>
      </c>
      <c r="E13" s="30">
        <v>60873</v>
      </c>
      <c r="F13" s="17">
        <f t="shared" si="1"/>
        <v>6087.3</v>
      </c>
      <c r="G13" s="17">
        <f t="shared" si="0"/>
        <v>66960.3</v>
      </c>
      <c r="H13" s="35" t="s">
        <v>14</v>
      </c>
      <c r="I13" s="36"/>
      <c r="J13" s="4">
        <v>11</v>
      </c>
    </row>
    <row r="14" spans="1:10" x14ac:dyDescent="0.4">
      <c r="A14" s="20"/>
      <c r="B14" s="37" t="s">
        <v>35</v>
      </c>
      <c r="C14" s="37" t="s">
        <v>36</v>
      </c>
      <c r="D14" s="34" t="s">
        <v>37</v>
      </c>
      <c r="E14" s="30">
        <v>100000</v>
      </c>
      <c r="F14" s="17">
        <f t="shared" si="1"/>
        <v>10000</v>
      </c>
      <c r="G14" s="29">
        <f t="shared" si="0"/>
        <v>110000</v>
      </c>
      <c r="H14" s="38" t="s">
        <v>14</v>
      </c>
      <c r="I14" s="4"/>
      <c r="J14" s="4">
        <v>12</v>
      </c>
    </row>
    <row r="15" spans="1:10" x14ac:dyDescent="0.4">
      <c r="A15" s="20"/>
      <c r="B15" s="31" t="s">
        <v>38</v>
      </c>
      <c r="C15" s="31" t="s">
        <v>39</v>
      </c>
      <c r="D15" s="39" t="s">
        <v>40</v>
      </c>
      <c r="E15" s="30">
        <v>120625</v>
      </c>
      <c r="F15" s="17">
        <f t="shared" si="1"/>
        <v>12062.5</v>
      </c>
      <c r="G15" s="17">
        <f t="shared" si="0"/>
        <v>132687.5</v>
      </c>
      <c r="H15" s="24" t="s">
        <v>14</v>
      </c>
      <c r="I15" s="36"/>
      <c r="J15" s="4">
        <v>13</v>
      </c>
    </row>
    <row r="16" spans="1:10" x14ac:dyDescent="0.4">
      <c r="A16" s="20"/>
      <c r="B16" s="31" t="s">
        <v>41</v>
      </c>
      <c r="C16" s="31" t="s">
        <v>42</v>
      </c>
      <c r="D16" s="39" t="s">
        <v>43</v>
      </c>
      <c r="E16" s="30">
        <v>12480453</v>
      </c>
      <c r="F16" s="17">
        <f t="shared" si="1"/>
        <v>1248045.3</v>
      </c>
      <c r="G16" s="17">
        <f t="shared" si="0"/>
        <v>13728498.300000001</v>
      </c>
      <c r="H16" s="24" t="s">
        <v>14</v>
      </c>
      <c r="I16" s="4"/>
      <c r="J16" s="4">
        <v>14</v>
      </c>
    </row>
    <row r="17" spans="1:10" x14ac:dyDescent="0.4">
      <c r="A17" s="20"/>
      <c r="B17" s="31" t="s">
        <v>44</v>
      </c>
      <c r="C17" s="31" t="s">
        <v>45</v>
      </c>
      <c r="D17" s="22" t="s">
        <v>46</v>
      </c>
      <c r="E17" s="30">
        <v>44000</v>
      </c>
      <c r="F17" s="17">
        <f t="shared" si="1"/>
        <v>4400</v>
      </c>
      <c r="G17" s="17">
        <f t="shared" si="0"/>
        <v>48400</v>
      </c>
      <c r="H17" s="38" t="s">
        <v>14</v>
      </c>
      <c r="I17" s="4"/>
      <c r="J17" s="4">
        <v>15</v>
      </c>
    </row>
    <row r="18" spans="1:10" x14ac:dyDescent="0.4">
      <c r="A18" s="20"/>
      <c r="B18" s="21" t="s">
        <v>47</v>
      </c>
      <c r="C18" s="21" t="s">
        <v>45</v>
      </c>
      <c r="D18" s="22" t="s">
        <v>48</v>
      </c>
      <c r="E18" s="30">
        <v>253300</v>
      </c>
      <c r="F18" s="17">
        <f t="shared" si="1"/>
        <v>25330</v>
      </c>
      <c r="G18" s="17">
        <f>E18+F18</f>
        <v>278630</v>
      </c>
      <c r="H18" s="24" t="s">
        <v>14</v>
      </c>
      <c r="I18" s="4"/>
      <c r="J18" s="4">
        <v>16</v>
      </c>
    </row>
    <row r="19" spans="1:10" x14ac:dyDescent="0.4">
      <c r="A19" s="20"/>
      <c r="B19" s="31" t="s">
        <v>11</v>
      </c>
      <c r="C19" s="31" t="s">
        <v>12</v>
      </c>
      <c r="D19" s="22" t="s">
        <v>49</v>
      </c>
      <c r="E19" s="40">
        <v>95954</v>
      </c>
      <c r="F19" s="17">
        <f t="shared" si="1"/>
        <v>9595.4</v>
      </c>
      <c r="G19" s="17">
        <f>E19+F19</f>
        <v>105549.4</v>
      </c>
      <c r="H19" s="24" t="s">
        <v>14</v>
      </c>
      <c r="I19" s="4" t="s">
        <v>50</v>
      </c>
      <c r="J19" s="4">
        <v>17</v>
      </c>
    </row>
    <row r="20" spans="1:10" x14ac:dyDescent="0.4">
      <c r="A20" s="20"/>
      <c r="B20" s="21" t="s">
        <v>16</v>
      </c>
      <c r="C20" s="21" t="s">
        <v>16</v>
      </c>
      <c r="D20" s="22" t="s">
        <v>51</v>
      </c>
      <c r="E20" s="40">
        <v>50382</v>
      </c>
      <c r="F20" s="17">
        <f t="shared" si="1"/>
        <v>5038.2000000000007</v>
      </c>
      <c r="G20" s="17">
        <f>E20+F20</f>
        <v>55420.2</v>
      </c>
      <c r="H20" s="24" t="s">
        <v>14</v>
      </c>
      <c r="I20" s="4" t="s">
        <v>52</v>
      </c>
      <c r="J20" s="4">
        <v>18</v>
      </c>
    </row>
    <row r="21" spans="1:10" x14ac:dyDescent="0.4">
      <c r="A21" s="20"/>
      <c r="B21" s="21" t="s">
        <v>16</v>
      </c>
      <c r="C21" s="21" t="s">
        <v>16</v>
      </c>
      <c r="D21" s="22" t="s">
        <v>53</v>
      </c>
      <c r="E21" s="40">
        <v>19715</v>
      </c>
      <c r="F21" s="17">
        <f t="shared" si="1"/>
        <v>1971.5</v>
      </c>
      <c r="G21" s="17">
        <f t="shared" ref="G21:G60" si="2">E21+F21</f>
        <v>21686.5</v>
      </c>
      <c r="H21" s="24" t="s">
        <v>14</v>
      </c>
      <c r="I21" s="4" t="s">
        <v>54</v>
      </c>
      <c r="J21" s="4">
        <v>19</v>
      </c>
    </row>
    <row r="22" spans="1:10" x14ac:dyDescent="0.4">
      <c r="A22" s="20"/>
      <c r="B22" s="21" t="s">
        <v>16</v>
      </c>
      <c r="C22" s="21" t="s">
        <v>55</v>
      </c>
      <c r="D22" s="22" t="s">
        <v>56</v>
      </c>
      <c r="E22" s="23">
        <v>94023</v>
      </c>
      <c r="F22" s="17">
        <f t="shared" si="1"/>
        <v>9402.3000000000011</v>
      </c>
      <c r="G22" s="17">
        <f t="shared" si="2"/>
        <v>103425.3</v>
      </c>
      <c r="H22" s="24" t="s">
        <v>14</v>
      </c>
      <c r="I22" s="4" t="s">
        <v>57</v>
      </c>
      <c r="J22" s="4">
        <v>20</v>
      </c>
    </row>
    <row r="23" spans="1:10" x14ac:dyDescent="0.4">
      <c r="A23" s="20"/>
      <c r="B23" s="21" t="s">
        <v>16</v>
      </c>
      <c r="C23" s="21" t="s">
        <v>16</v>
      </c>
      <c r="D23" s="22" t="s">
        <v>58</v>
      </c>
      <c r="E23" s="41">
        <v>67236</v>
      </c>
      <c r="F23" s="17">
        <f t="shared" si="1"/>
        <v>6723.6</v>
      </c>
      <c r="G23" s="17">
        <f t="shared" si="2"/>
        <v>73959.600000000006</v>
      </c>
      <c r="H23" s="24" t="s">
        <v>14</v>
      </c>
      <c r="I23" s="4" t="s">
        <v>59</v>
      </c>
      <c r="J23" s="4">
        <v>21</v>
      </c>
    </row>
    <row r="24" spans="1:10" x14ac:dyDescent="0.4">
      <c r="A24" s="20"/>
      <c r="B24" s="37" t="s">
        <v>60</v>
      </c>
      <c r="C24" s="37" t="s">
        <v>61</v>
      </c>
      <c r="D24" s="22" t="s">
        <v>62</v>
      </c>
      <c r="E24" s="30">
        <v>170000</v>
      </c>
      <c r="F24" s="17">
        <f t="shared" si="1"/>
        <v>17000</v>
      </c>
      <c r="G24" s="17">
        <f t="shared" si="2"/>
        <v>187000</v>
      </c>
      <c r="H24" s="24" t="s">
        <v>14</v>
      </c>
      <c r="I24" s="6"/>
      <c r="J24" s="4">
        <v>22</v>
      </c>
    </row>
    <row r="25" spans="1:10" x14ac:dyDescent="0.4">
      <c r="A25" s="20"/>
      <c r="B25" s="37" t="s">
        <v>63</v>
      </c>
      <c r="C25" s="37" t="s">
        <v>64</v>
      </c>
      <c r="D25" s="22" t="s">
        <v>65</v>
      </c>
      <c r="E25" s="30">
        <v>69000</v>
      </c>
      <c r="F25" s="17">
        <f t="shared" si="1"/>
        <v>6900</v>
      </c>
      <c r="G25" s="17">
        <f t="shared" si="2"/>
        <v>75900</v>
      </c>
      <c r="H25" s="24" t="s">
        <v>14</v>
      </c>
      <c r="I25" s="6"/>
      <c r="J25" s="4">
        <v>23</v>
      </c>
    </row>
    <row r="26" spans="1:10" x14ac:dyDescent="0.4">
      <c r="A26" s="20"/>
      <c r="B26" s="37" t="s">
        <v>66</v>
      </c>
      <c r="C26" s="37" t="s">
        <v>67</v>
      </c>
      <c r="D26" s="22" t="s">
        <v>68</v>
      </c>
      <c r="E26" s="30">
        <v>240000</v>
      </c>
      <c r="F26" s="17">
        <f>E26*0.1</f>
        <v>24000</v>
      </c>
      <c r="G26" s="17">
        <f t="shared" si="2"/>
        <v>264000</v>
      </c>
      <c r="H26" s="24" t="s">
        <v>14</v>
      </c>
      <c r="I26" s="4"/>
      <c r="J26" s="4">
        <v>24</v>
      </c>
    </row>
    <row r="27" spans="1:10" x14ac:dyDescent="0.4">
      <c r="A27" s="42"/>
      <c r="B27" s="43" t="s">
        <v>69</v>
      </c>
      <c r="C27" s="43" t="s">
        <v>70</v>
      </c>
      <c r="D27" s="44" t="s">
        <v>71</v>
      </c>
      <c r="E27" s="30">
        <v>100000</v>
      </c>
      <c r="F27" s="45">
        <f>E27*0.1</f>
        <v>10000</v>
      </c>
      <c r="G27" s="29">
        <f t="shared" si="2"/>
        <v>110000</v>
      </c>
      <c r="H27" s="38" t="s">
        <v>14</v>
      </c>
      <c r="I27" s="4"/>
      <c r="J27" s="4">
        <v>25</v>
      </c>
    </row>
    <row r="28" spans="1:10" ht="18" thickBot="1" x14ac:dyDescent="0.45">
      <c r="A28" s="42"/>
      <c r="B28" s="31" t="s">
        <v>72</v>
      </c>
      <c r="C28" s="46" t="s">
        <v>73</v>
      </c>
      <c r="D28" s="27" t="s">
        <v>74</v>
      </c>
      <c r="E28" s="30">
        <v>300000</v>
      </c>
      <c r="F28" s="29">
        <f>E28*0.1</f>
        <v>30000</v>
      </c>
      <c r="G28" s="29">
        <f t="shared" si="2"/>
        <v>330000</v>
      </c>
      <c r="H28" s="35" t="s">
        <v>14</v>
      </c>
      <c r="I28" s="4"/>
      <c r="J28" s="4">
        <v>26</v>
      </c>
    </row>
    <row r="29" spans="1:10" x14ac:dyDescent="0.4">
      <c r="A29" s="47" t="s">
        <v>75</v>
      </c>
      <c r="B29" s="48" t="s">
        <v>76</v>
      </c>
      <c r="C29" s="48" t="s">
        <v>77</v>
      </c>
      <c r="D29" s="48" t="s">
        <v>78</v>
      </c>
      <c r="E29" s="49">
        <v>3000000</v>
      </c>
      <c r="F29" s="50">
        <f>E29*0.1</f>
        <v>300000</v>
      </c>
      <c r="G29" s="18">
        <f t="shared" si="2"/>
        <v>3300000</v>
      </c>
      <c r="H29" s="51" t="s">
        <v>14</v>
      </c>
      <c r="I29" s="7"/>
      <c r="J29" s="4">
        <v>1</v>
      </c>
    </row>
    <row r="30" spans="1:10" x14ac:dyDescent="0.4">
      <c r="A30" s="52" t="s">
        <v>79</v>
      </c>
      <c r="B30" s="44" t="s">
        <v>80</v>
      </c>
      <c r="C30" s="44" t="s">
        <v>81</v>
      </c>
      <c r="D30" s="44" t="s">
        <v>82</v>
      </c>
      <c r="E30" s="30">
        <v>330000</v>
      </c>
      <c r="F30" s="29">
        <f t="shared" ref="F30:F60" si="3">E30*0.1</f>
        <v>33000</v>
      </c>
      <c r="G30" s="53">
        <f t="shared" si="2"/>
        <v>363000</v>
      </c>
      <c r="H30" s="38" t="s">
        <v>14</v>
      </c>
      <c r="I30" s="7"/>
      <c r="J30" s="4">
        <v>2</v>
      </c>
    </row>
    <row r="31" spans="1:10" x14ac:dyDescent="0.4">
      <c r="A31" s="52" t="s">
        <v>83</v>
      </c>
      <c r="B31" s="44" t="s">
        <v>84</v>
      </c>
      <c r="C31" s="44" t="s">
        <v>85</v>
      </c>
      <c r="D31" s="44" t="s">
        <v>86</v>
      </c>
      <c r="E31" s="30">
        <v>360000</v>
      </c>
      <c r="F31" s="29">
        <f t="shared" si="3"/>
        <v>36000</v>
      </c>
      <c r="G31" s="53">
        <f t="shared" si="2"/>
        <v>396000</v>
      </c>
      <c r="H31" s="24" t="s">
        <v>14</v>
      </c>
      <c r="I31" s="7"/>
      <c r="J31" s="4">
        <v>3</v>
      </c>
    </row>
    <row r="32" spans="1:10" x14ac:dyDescent="0.4">
      <c r="A32" s="52" t="s">
        <v>87</v>
      </c>
      <c r="B32" s="44" t="s">
        <v>88</v>
      </c>
      <c r="C32" s="44" t="s">
        <v>89</v>
      </c>
      <c r="D32" s="44" t="s">
        <v>90</v>
      </c>
      <c r="E32" s="30">
        <v>34455</v>
      </c>
      <c r="F32" s="29">
        <f t="shared" si="3"/>
        <v>3445.5</v>
      </c>
      <c r="G32" s="53">
        <f t="shared" si="2"/>
        <v>37900.5</v>
      </c>
      <c r="H32" s="24" t="s">
        <v>14</v>
      </c>
      <c r="I32" s="7"/>
      <c r="J32" s="4">
        <v>4</v>
      </c>
    </row>
    <row r="33" spans="1:10" x14ac:dyDescent="0.4">
      <c r="A33" s="52" t="s">
        <v>87</v>
      </c>
      <c r="B33" s="44" t="s">
        <v>91</v>
      </c>
      <c r="C33" s="44" t="s">
        <v>92</v>
      </c>
      <c r="D33" s="44" t="s">
        <v>93</v>
      </c>
      <c r="E33" s="30">
        <v>52546</v>
      </c>
      <c r="F33" s="29">
        <f t="shared" si="3"/>
        <v>5254.6</v>
      </c>
      <c r="G33" s="53">
        <f t="shared" si="2"/>
        <v>57800.6</v>
      </c>
      <c r="H33" s="35" t="s">
        <v>14</v>
      </c>
      <c r="I33" s="7"/>
      <c r="J33" s="4">
        <v>5</v>
      </c>
    </row>
    <row r="34" spans="1:10" x14ac:dyDescent="0.4">
      <c r="A34" s="52" t="s">
        <v>94</v>
      </c>
      <c r="B34" s="44" t="s">
        <v>95</v>
      </c>
      <c r="C34" s="44" t="s">
        <v>96</v>
      </c>
      <c r="D34" s="44" t="s">
        <v>97</v>
      </c>
      <c r="E34" s="30">
        <v>1900000</v>
      </c>
      <c r="F34" s="29">
        <f t="shared" si="3"/>
        <v>190000</v>
      </c>
      <c r="G34" s="53">
        <f t="shared" si="2"/>
        <v>2090000</v>
      </c>
      <c r="H34" s="24" t="s">
        <v>14</v>
      </c>
      <c r="I34" s="7" t="s">
        <v>98</v>
      </c>
      <c r="J34" s="4">
        <v>6</v>
      </c>
    </row>
    <row r="35" spans="1:10" x14ac:dyDescent="0.4">
      <c r="A35" s="52" t="s">
        <v>94</v>
      </c>
      <c r="B35" s="44" t="s">
        <v>99</v>
      </c>
      <c r="C35" s="44" t="s">
        <v>100</v>
      </c>
      <c r="D35" s="44" t="s">
        <v>101</v>
      </c>
      <c r="E35" s="30">
        <v>200000</v>
      </c>
      <c r="F35" s="29">
        <f t="shared" si="3"/>
        <v>20000</v>
      </c>
      <c r="G35" s="53">
        <f t="shared" si="2"/>
        <v>220000</v>
      </c>
      <c r="H35" s="38" t="s">
        <v>14</v>
      </c>
      <c r="I35" s="7"/>
      <c r="J35" s="4">
        <v>7</v>
      </c>
    </row>
    <row r="36" spans="1:10" x14ac:dyDescent="0.4">
      <c r="A36" s="52" t="s">
        <v>102</v>
      </c>
      <c r="B36" s="44" t="s">
        <v>103</v>
      </c>
      <c r="C36" s="44" t="s">
        <v>104</v>
      </c>
      <c r="D36" s="44" t="s">
        <v>105</v>
      </c>
      <c r="E36" s="30">
        <v>450000</v>
      </c>
      <c r="F36" s="29">
        <f t="shared" si="3"/>
        <v>45000</v>
      </c>
      <c r="G36" s="53">
        <f t="shared" si="2"/>
        <v>495000</v>
      </c>
      <c r="H36" s="24" t="s">
        <v>14</v>
      </c>
      <c r="I36" s="7"/>
      <c r="J36" s="4">
        <v>8</v>
      </c>
    </row>
    <row r="37" spans="1:10" x14ac:dyDescent="0.4">
      <c r="A37" s="52" t="s">
        <v>79</v>
      </c>
      <c r="B37" s="44" t="s">
        <v>103</v>
      </c>
      <c r="C37" s="44" t="s">
        <v>104</v>
      </c>
      <c r="D37" s="44" t="s">
        <v>105</v>
      </c>
      <c r="E37" s="30">
        <v>450000</v>
      </c>
      <c r="F37" s="29">
        <f t="shared" si="3"/>
        <v>45000</v>
      </c>
      <c r="G37" s="53">
        <f t="shared" si="2"/>
        <v>495000</v>
      </c>
      <c r="H37" s="24" t="s">
        <v>14</v>
      </c>
      <c r="I37" s="7"/>
      <c r="J37" s="4">
        <v>9</v>
      </c>
    </row>
    <row r="38" spans="1:10" x14ac:dyDescent="0.4">
      <c r="A38" s="52" t="s">
        <v>106</v>
      </c>
      <c r="B38" s="44" t="s">
        <v>103</v>
      </c>
      <c r="C38" s="44" t="s">
        <v>104</v>
      </c>
      <c r="D38" s="44" t="s">
        <v>105</v>
      </c>
      <c r="E38" s="30">
        <v>450000</v>
      </c>
      <c r="F38" s="29">
        <f t="shared" si="3"/>
        <v>45000</v>
      </c>
      <c r="G38" s="53">
        <f t="shared" si="2"/>
        <v>495000</v>
      </c>
      <c r="H38" s="24" t="s">
        <v>14</v>
      </c>
      <c r="I38" s="7"/>
      <c r="J38" s="4">
        <v>10</v>
      </c>
    </row>
    <row r="39" spans="1:10" x14ac:dyDescent="0.4">
      <c r="A39" s="52" t="s">
        <v>107</v>
      </c>
      <c r="B39" s="44" t="s">
        <v>103</v>
      </c>
      <c r="C39" s="44" t="s">
        <v>104</v>
      </c>
      <c r="D39" s="44" t="s">
        <v>105</v>
      </c>
      <c r="E39" s="30">
        <v>450000</v>
      </c>
      <c r="F39" s="29">
        <f t="shared" si="3"/>
        <v>45000</v>
      </c>
      <c r="G39" s="53">
        <f t="shared" si="2"/>
        <v>495000</v>
      </c>
      <c r="H39" s="24" t="s">
        <v>14</v>
      </c>
      <c r="I39" s="7"/>
      <c r="J39" s="4">
        <v>11</v>
      </c>
    </row>
    <row r="40" spans="1:10" x14ac:dyDescent="0.4">
      <c r="A40" s="52" t="s">
        <v>108</v>
      </c>
      <c r="B40" s="44" t="s">
        <v>103</v>
      </c>
      <c r="C40" s="44" t="s">
        <v>104</v>
      </c>
      <c r="D40" s="44" t="s">
        <v>105</v>
      </c>
      <c r="E40" s="30">
        <v>450000</v>
      </c>
      <c r="F40" s="29">
        <f t="shared" si="3"/>
        <v>45000</v>
      </c>
      <c r="G40" s="53">
        <f t="shared" si="2"/>
        <v>495000</v>
      </c>
      <c r="H40" s="24" t="s">
        <v>14</v>
      </c>
      <c r="I40" s="7"/>
      <c r="J40" s="4">
        <v>12</v>
      </c>
    </row>
    <row r="41" spans="1:10" x14ac:dyDescent="0.4">
      <c r="A41" s="52" t="s">
        <v>109</v>
      </c>
      <c r="B41" s="44" t="s">
        <v>110</v>
      </c>
      <c r="C41" s="44" t="s">
        <v>111</v>
      </c>
      <c r="D41" s="44" t="s">
        <v>112</v>
      </c>
      <c r="E41" s="30">
        <v>450000</v>
      </c>
      <c r="F41" s="29">
        <f t="shared" si="3"/>
        <v>45000</v>
      </c>
      <c r="G41" s="53">
        <f t="shared" si="2"/>
        <v>495000</v>
      </c>
      <c r="H41" s="24" t="s">
        <v>14</v>
      </c>
      <c r="I41" s="54">
        <f>G37+G38+G39+G40+G41</f>
        <v>2475000</v>
      </c>
      <c r="J41" s="4">
        <v>13</v>
      </c>
    </row>
    <row r="42" spans="1:10" x14ac:dyDescent="0.4">
      <c r="A42" s="52" t="s">
        <v>108</v>
      </c>
      <c r="B42" s="44" t="s">
        <v>113</v>
      </c>
      <c r="C42" s="44" t="s">
        <v>114</v>
      </c>
      <c r="D42" s="44" t="s">
        <v>115</v>
      </c>
      <c r="E42" s="30">
        <v>1180000</v>
      </c>
      <c r="F42" s="29">
        <f t="shared" si="3"/>
        <v>118000</v>
      </c>
      <c r="G42" s="53">
        <f t="shared" si="2"/>
        <v>1298000</v>
      </c>
      <c r="H42" s="24" t="s">
        <v>14</v>
      </c>
      <c r="I42" s="7" t="s">
        <v>116</v>
      </c>
      <c r="J42" s="4">
        <v>14</v>
      </c>
    </row>
    <row r="43" spans="1:10" x14ac:dyDescent="0.4">
      <c r="A43" s="52" t="s">
        <v>108</v>
      </c>
      <c r="B43" s="44" t="s">
        <v>84</v>
      </c>
      <c r="C43" s="44" t="s">
        <v>85</v>
      </c>
      <c r="D43" s="44" t="s">
        <v>117</v>
      </c>
      <c r="E43" s="30">
        <v>395000</v>
      </c>
      <c r="F43" s="29">
        <f t="shared" si="3"/>
        <v>39500</v>
      </c>
      <c r="G43" s="53">
        <f t="shared" si="2"/>
        <v>434500</v>
      </c>
      <c r="H43" s="24" t="s">
        <v>14</v>
      </c>
      <c r="I43" s="7"/>
      <c r="J43" s="4">
        <v>15</v>
      </c>
    </row>
    <row r="44" spans="1:10" x14ac:dyDescent="0.4">
      <c r="A44" s="52" t="s">
        <v>118</v>
      </c>
      <c r="B44" s="44" t="s">
        <v>119</v>
      </c>
      <c r="C44" s="44" t="s">
        <v>120</v>
      </c>
      <c r="D44" s="44" t="s">
        <v>121</v>
      </c>
      <c r="E44" s="30">
        <v>383300</v>
      </c>
      <c r="F44" s="29">
        <f t="shared" si="3"/>
        <v>38330</v>
      </c>
      <c r="G44" s="53">
        <f t="shared" si="2"/>
        <v>421630</v>
      </c>
      <c r="H44" s="24" t="s">
        <v>14</v>
      </c>
      <c r="I44" s="7"/>
      <c r="J44" s="4">
        <v>16</v>
      </c>
    </row>
    <row r="45" spans="1:10" x14ac:dyDescent="0.4">
      <c r="A45" s="52" t="s">
        <v>118</v>
      </c>
      <c r="B45" s="44" t="s">
        <v>110</v>
      </c>
      <c r="C45" s="44" t="s">
        <v>111</v>
      </c>
      <c r="D45" s="44" t="s">
        <v>122</v>
      </c>
      <c r="E45" s="30">
        <v>150000</v>
      </c>
      <c r="F45" s="29">
        <f t="shared" si="3"/>
        <v>15000</v>
      </c>
      <c r="G45" s="53">
        <f t="shared" si="2"/>
        <v>165000</v>
      </c>
      <c r="H45" s="24" t="s">
        <v>14</v>
      </c>
      <c r="I45" s="7"/>
      <c r="J45" s="4">
        <v>17</v>
      </c>
    </row>
    <row r="46" spans="1:10" x14ac:dyDescent="0.4">
      <c r="A46" s="52" t="s">
        <v>123</v>
      </c>
      <c r="B46" s="44" t="s">
        <v>124</v>
      </c>
      <c r="C46" s="44" t="s">
        <v>125</v>
      </c>
      <c r="D46" s="44" t="s">
        <v>126</v>
      </c>
      <c r="E46" s="30">
        <v>200000</v>
      </c>
      <c r="F46" s="29">
        <f t="shared" si="3"/>
        <v>20000</v>
      </c>
      <c r="G46" s="53">
        <f t="shared" si="2"/>
        <v>220000</v>
      </c>
      <c r="H46" s="24" t="s">
        <v>14</v>
      </c>
      <c r="I46" s="7"/>
      <c r="J46" s="4">
        <v>19</v>
      </c>
    </row>
    <row r="47" spans="1:10" x14ac:dyDescent="0.4">
      <c r="A47" s="52" t="s">
        <v>127</v>
      </c>
      <c r="B47" s="44" t="s">
        <v>128</v>
      </c>
      <c r="C47" s="44" t="s">
        <v>129</v>
      </c>
      <c r="D47" s="44" t="s">
        <v>130</v>
      </c>
      <c r="E47" s="30">
        <v>1200000</v>
      </c>
      <c r="F47" s="29">
        <f t="shared" si="3"/>
        <v>120000</v>
      </c>
      <c r="G47" s="53">
        <f t="shared" si="2"/>
        <v>1320000</v>
      </c>
      <c r="H47" s="24" t="s">
        <v>14</v>
      </c>
      <c r="I47" s="7"/>
      <c r="J47" s="4">
        <v>21</v>
      </c>
    </row>
    <row r="48" spans="1:10" x14ac:dyDescent="0.4">
      <c r="A48" s="52" t="s">
        <v>127</v>
      </c>
      <c r="B48" s="44" t="s">
        <v>131</v>
      </c>
      <c r="C48" s="44" t="s">
        <v>132</v>
      </c>
      <c r="D48" s="44" t="s">
        <v>133</v>
      </c>
      <c r="E48" s="30">
        <v>824000</v>
      </c>
      <c r="F48" s="29">
        <f t="shared" si="3"/>
        <v>82400</v>
      </c>
      <c r="G48" s="53">
        <f t="shared" si="2"/>
        <v>906400</v>
      </c>
      <c r="H48" s="24" t="s">
        <v>14</v>
      </c>
      <c r="I48" s="7"/>
      <c r="J48" s="4">
        <v>22</v>
      </c>
    </row>
    <row r="49" spans="1:10" x14ac:dyDescent="0.4">
      <c r="A49" s="52" t="s">
        <v>127</v>
      </c>
      <c r="B49" s="44" t="s">
        <v>134</v>
      </c>
      <c r="C49" s="44" t="s">
        <v>135</v>
      </c>
      <c r="D49" s="44" t="s">
        <v>136</v>
      </c>
      <c r="E49" s="30">
        <v>9893300</v>
      </c>
      <c r="F49" s="29">
        <f t="shared" si="3"/>
        <v>989330</v>
      </c>
      <c r="G49" s="53">
        <f t="shared" si="2"/>
        <v>10882630</v>
      </c>
      <c r="H49" s="24" t="s">
        <v>14</v>
      </c>
      <c r="I49" s="7"/>
      <c r="J49" s="4">
        <v>23</v>
      </c>
    </row>
    <row r="50" spans="1:10" x14ac:dyDescent="0.4">
      <c r="A50" s="52" t="s">
        <v>127</v>
      </c>
      <c r="B50" s="44" t="s">
        <v>137</v>
      </c>
      <c r="C50" s="44" t="s">
        <v>138</v>
      </c>
      <c r="D50" s="44" t="s">
        <v>139</v>
      </c>
      <c r="E50" s="30">
        <v>1400000</v>
      </c>
      <c r="F50" s="29">
        <f t="shared" si="3"/>
        <v>140000</v>
      </c>
      <c r="G50" s="53">
        <f t="shared" si="2"/>
        <v>1540000</v>
      </c>
      <c r="H50" s="24" t="s">
        <v>14</v>
      </c>
      <c r="I50" s="7"/>
      <c r="J50" s="4">
        <v>24</v>
      </c>
    </row>
    <row r="51" spans="1:10" x14ac:dyDescent="0.4">
      <c r="A51" s="52" t="s">
        <v>127</v>
      </c>
      <c r="B51" s="44" t="s">
        <v>140</v>
      </c>
      <c r="C51" s="44" t="s">
        <v>141</v>
      </c>
      <c r="D51" s="44" t="s">
        <v>142</v>
      </c>
      <c r="E51" s="30">
        <v>540000</v>
      </c>
      <c r="F51" s="29">
        <f t="shared" si="3"/>
        <v>54000</v>
      </c>
      <c r="G51" s="53">
        <f t="shared" si="2"/>
        <v>594000</v>
      </c>
      <c r="H51" s="24" t="s">
        <v>14</v>
      </c>
      <c r="I51" s="7"/>
      <c r="J51" s="4">
        <v>25</v>
      </c>
    </row>
    <row r="52" spans="1:10" x14ac:dyDescent="0.4">
      <c r="A52" s="52" t="s">
        <v>127</v>
      </c>
      <c r="B52" s="44" t="s">
        <v>143</v>
      </c>
      <c r="C52" s="44" t="s">
        <v>144</v>
      </c>
      <c r="D52" s="44" t="s">
        <v>145</v>
      </c>
      <c r="E52" s="30">
        <v>504000</v>
      </c>
      <c r="F52" s="29">
        <f t="shared" si="3"/>
        <v>50400</v>
      </c>
      <c r="G52" s="53">
        <f t="shared" si="2"/>
        <v>554400</v>
      </c>
      <c r="H52" s="24" t="s">
        <v>14</v>
      </c>
      <c r="I52" s="7"/>
      <c r="J52" s="4">
        <v>26</v>
      </c>
    </row>
    <row r="53" spans="1:10" x14ac:dyDescent="0.4">
      <c r="A53" s="52" t="s">
        <v>127</v>
      </c>
      <c r="B53" s="44" t="s">
        <v>146</v>
      </c>
      <c r="C53" s="44" t="s">
        <v>147</v>
      </c>
      <c r="D53" s="44" t="s">
        <v>148</v>
      </c>
      <c r="E53" s="30">
        <v>855500</v>
      </c>
      <c r="F53" s="29">
        <f t="shared" si="3"/>
        <v>85550</v>
      </c>
      <c r="G53" s="53">
        <f t="shared" si="2"/>
        <v>941050</v>
      </c>
      <c r="H53" s="24" t="s">
        <v>14</v>
      </c>
      <c r="I53" s="7"/>
      <c r="J53" s="4"/>
    </row>
    <row r="54" spans="1:10" x14ac:dyDescent="0.4">
      <c r="A54" s="52" t="s">
        <v>127</v>
      </c>
      <c r="B54" s="44" t="s">
        <v>149</v>
      </c>
      <c r="C54" s="44" t="s">
        <v>150</v>
      </c>
      <c r="D54" s="44" t="s">
        <v>151</v>
      </c>
      <c r="E54" s="30">
        <v>5100000</v>
      </c>
      <c r="F54" s="29">
        <f t="shared" si="3"/>
        <v>510000</v>
      </c>
      <c r="G54" s="53">
        <f t="shared" si="2"/>
        <v>5610000</v>
      </c>
      <c r="H54" s="24" t="s">
        <v>152</v>
      </c>
      <c r="I54" s="7"/>
      <c r="J54" s="4">
        <v>27</v>
      </c>
    </row>
    <row r="55" spans="1:10" x14ac:dyDescent="0.4">
      <c r="A55" s="52" t="s">
        <v>127</v>
      </c>
      <c r="B55" s="44" t="s">
        <v>153</v>
      </c>
      <c r="C55" s="44" t="s">
        <v>154</v>
      </c>
      <c r="D55" s="44" t="s">
        <v>155</v>
      </c>
      <c r="E55" s="30">
        <v>4188000</v>
      </c>
      <c r="F55" s="29">
        <f t="shared" si="3"/>
        <v>418800</v>
      </c>
      <c r="G55" s="53">
        <f t="shared" si="2"/>
        <v>4606800</v>
      </c>
      <c r="H55" s="24" t="s">
        <v>14</v>
      </c>
      <c r="I55" s="7"/>
      <c r="J55" s="4">
        <v>28</v>
      </c>
    </row>
    <row r="56" spans="1:10" x14ac:dyDescent="0.4">
      <c r="A56" s="52" t="s">
        <v>127</v>
      </c>
      <c r="B56" s="44" t="s">
        <v>156</v>
      </c>
      <c r="C56" s="44" t="s">
        <v>157</v>
      </c>
      <c r="D56" s="44" t="s">
        <v>158</v>
      </c>
      <c r="E56" s="30">
        <v>2465490</v>
      </c>
      <c r="F56" s="29">
        <f t="shared" si="3"/>
        <v>246549</v>
      </c>
      <c r="G56" s="53">
        <f t="shared" si="2"/>
        <v>2712039</v>
      </c>
      <c r="H56" s="24" t="s">
        <v>14</v>
      </c>
      <c r="I56" s="7"/>
      <c r="J56" s="4">
        <v>29</v>
      </c>
    </row>
    <row r="57" spans="1:10" x14ac:dyDescent="0.4">
      <c r="A57" s="52" t="s">
        <v>127</v>
      </c>
      <c r="B57" s="44" t="s">
        <v>159</v>
      </c>
      <c r="C57" s="44" t="s">
        <v>160</v>
      </c>
      <c r="D57" s="44" t="s">
        <v>161</v>
      </c>
      <c r="E57" s="30">
        <v>10324000</v>
      </c>
      <c r="F57" s="29">
        <f t="shared" si="3"/>
        <v>1032400</v>
      </c>
      <c r="G57" s="53">
        <f t="shared" si="2"/>
        <v>11356400</v>
      </c>
      <c r="H57" s="24" t="s">
        <v>14</v>
      </c>
      <c r="I57" s="54">
        <v>11356400</v>
      </c>
      <c r="J57" s="4">
        <v>30</v>
      </c>
    </row>
    <row r="58" spans="1:10" x14ac:dyDescent="0.4">
      <c r="A58" s="52" t="s">
        <v>127</v>
      </c>
      <c r="B58" s="44" t="s">
        <v>162</v>
      </c>
      <c r="C58" s="44" t="s">
        <v>163</v>
      </c>
      <c r="D58" s="44" t="s">
        <v>164</v>
      </c>
      <c r="E58" s="30">
        <v>1750000</v>
      </c>
      <c r="F58" s="29">
        <f t="shared" si="3"/>
        <v>175000</v>
      </c>
      <c r="G58" s="53">
        <f t="shared" si="2"/>
        <v>1925000</v>
      </c>
      <c r="H58" s="24" t="s">
        <v>14</v>
      </c>
      <c r="I58" s="54"/>
      <c r="J58" s="4">
        <v>31</v>
      </c>
    </row>
    <row r="59" spans="1:10" x14ac:dyDescent="0.4">
      <c r="A59" s="52" t="s">
        <v>127</v>
      </c>
      <c r="B59" s="44" t="s">
        <v>165</v>
      </c>
      <c r="C59" s="44" t="s">
        <v>166</v>
      </c>
      <c r="D59" s="44" t="s">
        <v>167</v>
      </c>
      <c r="E59" s="30">
        <v>1728000</v>
      </c>
      <c r="F59" s="29">
        <f t="shared" si="3"/>
        <v>172800</v>
      </c>
      <c r="G59" s="53">
        <f t="shared" si="2"/>
        <v>1900800</v>
      </c>
      <c r="H59" s="24" t="s">
        <v>14</v>
      </c>
      <c r="I59" s="54"/>
      <c r="J59" s="4">
        <v>32</v>
      </c>
    </row>
    <row r="60" spans="1:10" x14ac:dyDescent="0.4">
      <c r="A60" s="52" t="s">
        <v>168</v>
      </c>
      <c r="B60" s="44" t="s">
        <v>169</v>
      </c>
      <c r="C60" s="44" t="s">
        <v>170</v>
      </c>
      <c r="D60" s="44" t="s">
        <v>171</v>
      </c>
      <c r="E60" s="30">
        <v>480000</v>
      </c>
      <c r="F60" s="29">
        <f t="shared" si="3"/>
        <v>48000</v>
      </c>
      <c r="G60" s="53">
        <f t="shared" si="2"/>
        <v>528000</v>
      </c>
      <c r="H60" s="24" t="s">
        <v>14</v>
      </c>
      <c r="I60" s="54"/>
      <c r="J60" s="4">
        <v>33</v>
      </c>
    </row>
    <row r="61" spans="1:10" x14ac:dyDescent="0.4">
      <c r="A61" s="55"/>
      <c r="B61" s="56"/>
      <c r="C61" s="57"/>
      <c r="D61" s="56"/>
      <c r="E61" s="58"/>
      <c r="F61" s="59"/>
      <c r="G61" s="60"/>
      <c r="H61" s="24" t="s">
        <v>14</v>
      </c>
      <c r="I61" s="54"/>
      <c r="J61" s="4">
        <v>34</v>
      </c>
    </row>
    <row r="62" spans="1:10" x14ac:dyDescent="0.4">
      <c r="A62" s="61"/>
      <c r="B62" s="56"/>
      <c r="C62" s="57"/>
      <c r="D62" s="56"/>
      <c r="E62" s="58"/>
      <c r="F62" s="59"/>
      <c r="G62" s="60"/>
      <c r="H62" s="24" t="s">
        <v>14</v>
      </c>
      <c r="I62" s="54">
        <f>G57+G58+G59+G60+G61+G62</f>
        <v>15710200</v>
      </c>
      <c r="J62" s="4">
        <v>35</v>
      </c>
    </row>
    <row r="63" spans="1:10" x14ac:dyDescent="0.4">
      <c r="A63" s="61"/>
      <c r="B63" s="56"/>
      <c r="C63" s="57"/>
      <c r="D63" s="56"/>
      <c r="E63" s="58"/>
      <c r="F63" s="59"/>
      <c r="G63" s="60"/>
      <c r="H63" s="24" t="s">
        <v>14</v>
      </c>
      <c r="I63" s="54"/>
      <c r="J63" s="4">
        <v>36</v>
      </c>
    </row>
    <row r="64" spans="1:10" ht="18" thickBot="1" x14ac:dyDescent="0.45">
      <c r="A64" s="61"/>
      <c r="B64" s="56"/>
      <c r="C64" s="57"/>
      <c r="D64" s="56"/>
      <c r="E64" s="58"/>
      <c r="F64" s="59"/>
      <c r="G64" s="60"/>
      <c r="H64" s="24" t="s">
        <v>14</v>
      </c>
      <c r="I64" s="54"/>
      <c r="J64" s="4">
        <v>37</v>
      </c>
    </row>
    <row r="65" spans="1:10" ht="18" thickBot="1" x14ac:dyDescent="0.45">
      <c r="A65" s="62"/>
      <c r="B65" s="63" t="s">
        <v>8</v>
      </c>
      <c r="C65" s="64"/>
      <c r="D65" s="65"/>
      <c r="E65" s="66">
        <f>SUM(E4:E64)</f>
        <v>76553352</v>
      </c>
      <c r="F65" s="66">
        <f>SUM(F4:F64)</f>
        <v>7655335.2000000002</v>
      </c>
      <c r="G65" s="67">
        <f>SUM(G4:G64)</f>
        <v>84208687.200000003</v>
      </c>
      <c r="H65" s="68"/>
      <c r="I65" s="7"/>
      <c r="J65" s="7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E1C12-F8DC-44B6-92D6-554FAC130471}">
  <dimension ref="A1:J97"/>
  <sheetViews>
    <sheetView topLeftCell="A65" workbookViewId="0">
      <selection activeCell="K101" sqref="A69:K101"/>
    </sheetView>
  </sheetViews>
  <sheetFormatPr defaultRowHeight="17.399999999999999" x14ac:dyDescent="0.4"/>
  <cols>
    <col min="2" max="2" width="24.8984375" bestFit="1" customWidth="1"/>
    <col min="3" max="3" width="62.5" bestFit="1" customWidth="1"/>
    <col min="4" max="4" width="27.09765625" bestFit="1" customWidth="1"/>
    <col min="5" max="5" width="9.59765625" bestFit="1" customWidth="1"/>
    <col min="6" max="6" width="8.69921875" bestFit="1" customWidth="1"/>
    <col min="7" max="7" width="9.59765625" bestFit="1" customWidth="1"/>
    <col min="8" max="8" width="4.59765625" bestFit="1" customWidth="1"/>
  </cols>
  <sheetData>
    <row r="1" spans="1:10" ht="20.399999999999999" x14ac:dyDescent="0.4">
      <c r="A1" s="1" t="s">
        <v>172</v>
      </c>
      <c r="B1" s="2"/>
      <c r="C1" s="3" t="s">
        <v>1</v>
      </c>
      <c r="D1" s="4"/>
      <c r="E1" s="5"/>
      <c r="F1" s="5"/>
      <c r="G1" s="5"/>
      <c r="H1" s="6"/>
      <c r="I1" s="7"/>
      <c r="J1" s="7"/>
    </row>
    <row r="2" spans="1:10" ht="18" thickBot="1" x14ac:dyDescent="0.45">
      <c r="A2" s="1"/>
      <c r="B2" s="2"/>
      <c r="C2" s="8"/>
      <c r="D2" s="4"/>
      <c r="E2" s="5"/>
      <c r="F2" s="5"/>
      <c r="G2" s="5"/>
      <c r="H2" s="6"/>
      <c r="I2" s="7"/>
      <c r="J2" s="7"/>
    </row>
    <row r="3" spans="1:10" ht="18" thickBot="1" x14ac:dyDescent="0.45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6" t="s">
        <v>10</v>
      </c>
      <c r="J3" s="6"/>
    </row>
    <row r="4" spans="1:10" x14ac:dyDescent="0.4">
      <c r="A4" s="69"/>
      <c r="B4" s="14" t="s">
        <v>11</v>
      </c>
      <c r="C4" s="14" t="s">
        <v>12</v>
      </c>
      <c r="D4" s="70" t="s">
        <v>13</v>
      </c>
      <c r="E4" s="16">
        <v>59220</v>
      </c>
      <c r="F4" s="17">
        <f>E4*0.1</f>
        <v>5922</v>
      </c>
      <c r="G4" s="18">
        <f t="shared" ref="G4:G17" si="0">E4+F4</f>
        <v>65142</v>
      </c>
      <c r="H4" s="19" t="s">
        <v>14</v>
      </c>
      <c r="I4" s="4" t="s">
        <v>15</v>
      </c>
      <c r="J4" s="4">
        <v>1</v>
      </c>
    </row>
    <row r="5" spans="1:10" x14ac:dyDescent="0.4">
      <c r="A5" s="71"/>
      <c r="B5" s="21" t="s">
        <v>16</v>
      </c>
      <c r="C5" s="21" t="s">
        <v>16</v>
      </c>
      <c r="D5" s="37" t="s">
        <v>17</v>
      </c>
      <c r="E5" s="23">
        <v>35449</v>
      </c>
      <c r="F5" s="17">
        <f t="shared" ref="F5:F25" si="1">E5*0.1</f>
        <v>3544.9</v>
      </c>
      <c r="G5" s="17">
        <f t="shared" si="0"/>
        <v>38993.9</v>
      </c>
      <c r="H5" s="24" t="s">
        <v>14</v>
      </c>
      <c r="I5" s="4" t="s">
        <v>18</v>
      </c>
      <c r="J5" s="4">
        <v>2</v>
      </c>
    </row>
    <row r="6" spans="1:10" x14ac:dyDescent="0.4">
      <c r="A6" s="71"/>
      <c r="B6" s="21" t="s">
        <v>16</v>
      </c>
      <c r="C6" s="21" t="s">
        <v>16</v>
      </c>
      <c r="D6" s="37" t="s">
        <v>19</v>
      </c>
      <c r="E6" s="25"/>
      <c r="F6" s="17">
        <f t="shared" si="1"/>
        <v>0</v>
      </c>
      <c r="G6" s="17">
        <f t="shared" si="0"/>
        <v>0</v>
      </c>
      <c r="H6" s="24" t="s">
        <v>14</v>
      </c>
      <c r="I6" s="4" t="s">
        <v>20</v>
      </c>
      <c r="J6" s="4">
        <v>3</v>
      </c>
    </row>
    <row r="7" spans="1:10" x14ac:dyDescent="0.4">
      <c r="A7" s="71"/>
      <c r="B7" s="21" t="s">
        <v>16</v>
      </c>
      <c r="C7" s="21" t="s">
        <v>16</v>
      </c>
      <c r="D7" s="37" t="s">
        <v>21</v>
      </c>
      <c r="E7" s="23">
        <v>43056</v>
      </c>
      <c r="F7" s="17">
        <f t="shared" si="1"/>
        <v>4305.6000000000004</v>
      </c>
      <c r="G7" s="17">
        <f t="shared" si="0"/>
        <v>47361.599999999999</v>
      </c>
      <c r="H7" s="24" t="s">
        <v>14</v>
      </c>
      <c r="I7" s="4" t="s">
        <v>22</v>
      </c>
      <c r="J7" s="4">
        <v>4</v>
      </c>
    </row>
    <row r="8" spans="1:10" x14ac:dyDescent="0.4">
      <c r="A8" s="71"/>
      <c r="B8" s="21" t="s">
        <v>16</v>
      </c>
      <c r="C8" s="21" t="s">
        <v>16</v>
      </c>
      <c r="D8" s="37" t="s">
        <v>23</v>
      </c>
      <c r="E8" s="23">
        <v>23088</v>
      </c>
      <c r="F8" s="17">
        <f t="shared" si="1"/>
        <v>2308.8000000000002</v>
      </c>
      <c r="G8" s="26">
        <f t="shared" si="0"/>
        <v>25396.799999999999</v>
      </c>
      <c r="H8" s="24" t="s">
        <v>14</v>
      </c>
      <c r="I8" s="4" t="s">
        <v>24</v>
      </c>
      <c r="J8" s="4">
        <v>5</v>
      </c>
    </row>
    <row r="9" spans="1:10" x14ac:dyDescent="0.4">
      <c r="A9" s="71"/>
      <c r="B9" s="21" t="s">
        <v>16</v>
      </c>
      <c r="C9" s="21" t="s">
        <v>16</v>
      </c>
      <c r="D9" s="31" t="s">
        <v>25</v>
      </c>
      <c r="E9" s="28">
        <v>31645</v>
      </c>
      <c r="F9" s="17">
        <f t="shared" si="1"/>
        <v>3164.5</v>
      </c>
      <c r="G9" s="29">
        <f t="shared" si="0"/>
        <v>34809.5</v>
      </c>
      <c r="H9" s="24" t="s">
        <v>14</v>
      </c>
      <c r="I9" s="4" t="s">
        <v>26</v>
      </c>
      <c r="J9" s="4">
        <v>6</v>
      </c>
    </row>
    <row r="10" spans="1:10" x14ac:dyDescent="0.4">
      <c r="A10" s="71"/>
      <c r="B10" s="21" t="s">
        <v>16</v>
      </c>
      <c r="C10" s="21" t="s">
        <v>16</v>
      </c>
      <c r="D10" s="37" t="s">
        <v>27</v>
      </c>
      <c r="E10" s="30">
        <v>9478910</v>
      </c>
      <c r="F10" s="30">
        <v>947891</v>
      </c>
      <c r="G10" s="29">
        <f t="shared" si="0"/>
        <v>10426801</v>
      </c>
      <c r="H10" s="24" t="s">
        <v>14</v>
      </c>
      <c r="I10" s="4"/>
      <c r="J10" s="4">
        <v>7</v>
      </c>
    </row>
    <row r="11" spans="1:10" x14ac:dyDescent="0.4">
      <c r="A11" s="71"/>
      <c r="B11" s="31" t="s">
        <v>28</v>
      </c>
      <c r="C11" s="31" t="s">
        <v>29</v>
      </c>
      <c r="D11" s="72" t="s">
        <v>30</v>
      </c>
      <c r="E11" s="30">
        <v>100000</v>
      </c>
      <c r="F11" s="17">
        <f t="shared" si="1"/>
        <v>10000</v>
      </c>
      <c r="G11" s="17">
        <f t="shared" si="0"/>
        <v>110000</v>
      </c>
      <c r="H11" s="24" t="s">
        <v>14</v>
      </c>
      <c r="I11" s="4"/>
      <c r="J11" s="4">
        <v>8</v>
      </c>
    </row>
    <row r="12" spans="1:10" x14ac:dyDescent="0.4">
      <c r="A12" s="71"/>
      <c r="B12" s="31" t="s">
        <v>31</v>
      </c>
      <c r="C12" s="31" t="s">
        <v>32</v>
      </c>
      <c r="D12" s="73" t="s">
        <v>33</v>
      </c>
      <c r="E12" s="30">
        <v>76091</v>
      </c>
      <c r="F12" s="30">
        <v>7609</v>
      </c>
      <c r="G12" s="29">
        <f t="shared" si="0"/>
        <v>83700</v>
      </c>
      <c r="H12" s="24" t="s">
        <v>14</v>
      </c>
      <c r="I12" s="4"/>
      <c r="J12" s="4">
        <v>9</v>
      </c>
    </row>
    <row r="13" spans="1:10" x14ac:dyDescent="0.4">
      <c r="A13" s="71"/>
      <c r="B13" s="21" t="s">
        <v>16</v>
      </c>
      <c r="C13" s="21" t="s">
        <v>16</v>
      </c>
      <c r="D13" s="74" t="s">
        <v>34</v>
      </c>
      <c r="E13" s="30">
        <v>33396</v>
      </c>
      <c r="F13" s="30">
        <v>3339</v>
      </c>
      <c r="G13" s="17">
        <f t="shared" si="0"/>
        <v>36735</v>
      </c>
      <c r="H13" s="35" t="s">
        <v>14</v>
      </c>
      <c r="I13" s="36"/>
      <c r="J13" s="4">
        <v>11</v>
      </c>
    </row>
    <row r="14" spans="1:10" x14ac:dyDescent="0.4">
      <c r="A14" s="71"/>
      <c r="B14" s="37" t="s">
        <v>35</v>
      </c>
      <c r="C14" s="37" t="s">
        <v>36</v>
      </c>
      <c r="D14" s="74" t="s">
        <v>37</v>
      </c>
      <c r="E14" s="30">
        <v>100000</v>
      </c>
      <c r="F14" s="17">
        <f t="shared" si="1"/>
        <v>10000</v>
      </c>
      <c r="G14" s="29">
        <f t="shared" si="0"/>
        <v>110000</v>
      </c>
      <c r="H14" s="38" t="s">
        <v>14</v>
      </c>
      <c r="I14" s="4"/>
      <c r="J14" s="4">
        <v>12</v>
      </c>
    </row>
    <row r="15" spans="1:10" x14ac:dyDescent="0.4">
      <c r="A15" s="71"/>
      <c r="B15" s="31" t="s">
        <v>38</v>
      </c>
      <c r="C15" s="31" t="s">
        <v>39</v>
      </c>
      <c r="D15" s="75" t="s">
        <v>40</v>
      </c>
      <c r="E15" s="30">
        <v>120836</v>
      </c>
      <c r="F15" s="30">
        <v>12083</v>
      </c>
      <c r="G15" s="17">
        <f t="shared" si="0"/>
        <v>132919</v>
      </c>
      <c r="H15" s="24" t="s">
        <v>14</v>
      </c>
      <c r="I15" s="36"/>
      <c r="J15" s="4">
        <v>13</v>
      </c>
    </row>
    <row r="16" spans="1:10" x14ac:dyDescent="0.4">
      <c r="A16" s="71"/>
      <c r="B16" s="31" t="s">
        <v>41</v>
      </c>
      <c r="C16" s="31" t="s">
        <v>42</v>
      </c>
      <c r="D16" s="75" t="s">
        <v>43</v>
      </c>
      <c r="E16" s="30">
        <v>11719443</v>
      </c>
      <c r="F16" s="30">
        <v>1171944</v>
      </c>
      <c r="G16" s="17">
        <f t="shared" si="0"/>
        <v>12891387</v>
      </c>
      <c r="H16" s="24" t="s">
        <v>14</v>
      </c>
      <c r="I16" s="4"/>
      <c r="J16" s="4">
        <v>14</v>
      </c>
    </row>
    <row r="17" spans="1:10" x14ac:dyDescent="0.4">
      <c r="A17" s="71"/>
      <c r="B17" s="31" t="s">
        <v>44</v>
      </c>
      <c r="C17" s="31" t="s">
        <v>45</v>
      </c>
      <c r="D17" s="37" t="s">
        <v>46</v>
      </c>
      <c r="E17" s="30">
        <v>44000</v>
      </c>
      <c r="F17" s="17">
        <f t="shared" si="1"/>
        <v>4400</v>
      </c>
      <c r="G17" s="17">
        <f t="shared" si="0"/>
        <v>48400</v>
      </c>
      <c r="H17" s="38" t="s">
        <v>14</v>
      </c>
      <c r="I17" s="4"/>
      <c r="J17" s="4">
        <v>15</v>
      </c>
    </row>
    <row r="18" spans="1:10" x14ac:dyDescent="0.4">
      <c r="A18" s="71"/>
      <c r="B18" s="21" t="s">
        <v>47</v>
      </c>
      <c r="C18" s="21" t="s">
        <v>45</v>
      </c>
      <c r="D18" s="37" t="s">
        <v>48</v>
      </c>
      <c r="E18" s="30">
        <v>253300</v>
      </c>
      <c r="F18" s="17">
        <f t="shared" si="1"/>
        <v>25330</v>
      </c>
      <c r="G18" s="17">
        <f>E18+F18</f>
        <v>278630</v>
      </c>
      <c r="H18" s="24" t="s">
        <v>14</v>
      </c>
      <c r="I18" s="4"/>
      <c r="J18" s="4">
        <v>16</v>
      </c>
    </row>
    <row r="19" spans="1:10" x14ac:dyDescent="0.4">
      <c r="A19" s="71"/>
      <c r="B19" s="31" t="s">
        <v>11</v>
      </c>
      <c r="C19" s="31" t="s">
        <v>12</v>
      </c>
      <c r="D19" s="37" t="s">
        <v>49</v>
      </c>
      <c r="E19" s="76">
        <v>4058</v>
      </c>
      <c r="F19" s="17">
        <f t="shared" si="1"/>
        <v>405.8</v>
      </c>
      <c r="G19" s="17">
        <f>E19+F19</f>
        <v>4463.8</v>
      </c>
      <c r="H19" s="24" t="s">
        <v>14</v>
      </c>
      <c r="I19" s="4" t="s">
        <v>50</v>
      </c>
      <c r="J19" s="4">
        <v>17</v>
      </c>
    </row>
    <row r="20" spans="1:10" x14ac:dyDescent="0.4">
      <c r="A20" s="71"/>
      <c r="B20" s="21" t="s">
        <v>16</v>
      </c>
      <c r="C20" s="21" t="s">
        <v>16</v>
      </c>
      <c r="D20" s="37" t="s">
        <v>51</v>
      </c>
      <c r="E20" s="76">
        <v>19641</v>
      </c>
      <c r="F20" s="17">
        <f t="shared" si="1"/>
        <v>1964.1000000000001</v>
      </c>
      <c r="G20" s="17">
        <f>E20+F20</f>
        <v>21605.1</v>
      </c>
      <c r="H20" s="24" t="s">
        <v>14</v>
      </c>
      <c r="I20" s="4" t="s">
        <v>52</v>
      </c>
      <c r="J20" s="4">
        <v>18</v>
      </c>
    </row>
    <row r="21" spans="1:10" x14ac:dyDescent="0.4">
      <c r="A21" s="71"/>
      <c r="B21" s="21" t="s">
        <v>16</v>
      </c>
      <c r="C21" s="21" t="s">
        <v>16</v>
      </c>
      <c r="D21" s="37" t="s">
        <v>53</v>
      </c>
      <c r="E21" s="76">
        <v>15796</v>
      </c>
      <c r="F21" s="17">
        <f t="shared" si="1"/>
        <v>1579.6000000000001</v>
      </c>
      <c r="G21" s="17">
        <f t="shared" ref="G21:G59" si="2">E21+F21</f>
        <v>17375.599999999999</v>
      </c>
      <c r="H21" s="24" t="s">
        <v>14</v>
      </c>
      <c r="I21" s="4" t="s">
        <v>54</v>
      </c>
      <c r="J21" s="4">
        <v>19</v>
      </c>
    </row>
    <row r="22" spans="1:10" x14ac:dyDescent="0.4">
      <c r="A22" s="71"/>
      <c r="B22" s="21" t="s">
        <v>16</v>
      </c>
      <c r="C22" s="21" t="s">
        <v>55</v>
      </c>
      <c r="D22" s="37" t="s">
        <v>56</v>
      </c>
      <c r="E22" s="23">
        <v>56394</v>
      </c>
      <c r="F22" s="17">
        <f t="shared" si="1"/>
        <v>5639.4000000000005</v>
      </c>
      <c r="G22" s="17">
        <f t="shared" si="2"/>
        <v>62033.4</v>
      </c>
      <c r="H22" s="24" t="s">
        <v>14</v>
      </c>
      <c r="I22" s="4" t="s">
        <v>57</v>
      </c>
      <c r="J22" s="4">
        <v>20</v>
      </c>
    </row>
    <row r="23" spans="1:10" x14ac:dyDescent="0.4">
      <c r="A23" s="71"/>
      <c r="B23" s="21" t="s">
        <v>16</v>
      </c>
      <c r="C23" s="21" t="s">
        <v>16</v>
      </c>
      <c r="D23" s="37" t="s">
        <v>58</v>
      </c>
      <c r="E23" s="41">
        <v>49733</v>
      </c>
      <c r="F23" s="17">
        <f t="shared" si="1"/>
        <v>4973.3</v>
      </c>
      <c r="G23" s="17">
        <f t="shared" si="2"/>
        <v>54706.3</v>
      </c>
      <c r="H23" s="24" t="s">
        <v>14</v>
      </c>
      <c r="I23" s="4" t="s">
        <v>59</v>
      </c>
      <c r="J23" s="4">
        <v>21</v>
      </c>
    </row>
    <row r="24" spans="1:10" x14ac:dyDescent="0.4">
      <c r="A24" s="71"/>
      <c r="B24" s="37" t="s">
        <v>60</v>
      </c>
      <c r="C24" s="37" t="s">
        <v>61</v>
      </c>
      <c r="D24" s="37" t="s">
        <v>62</v>
      </c>
      <c r="E24" s="30">
        <v>170000</v>
      </c>
      <c r="F24" s="17">
        <f t="shared" si="1"/>
        <v>17000</v>
      </c>
      <c r="G24" s="17">
        <f t="shared" si="2"/>
        <v>187000</v>
      </c>
      <c r="H24" s="24" t="s">
        <v>14</v>
      </c>
      <c r="I24" s="6"/>
      <c r="J24" s="4">
        <v>22</v>
      </c>
    </row>
    <row r="25" spans="1:10" x14ac:dyDescent="0.4">
      <c r="A25" s="71"/>
      <c r="B25" s="37" t="s">
        <v>63</v>
      </c>
      <c r="C25" s="37" t="s">
        <v>64</v>
      </c>
      <c r="D25" s="37" t="s">
        <v>65</v>
      </c>
      <c r="E25" s="30">
        <v>69000</v>
      </c>
      <c r="F25" s="17">
        <f t="shared" si="1"/>
        <v>6900</v>
      </c>
      <c r="G25" s="17">
        <f t="shared" si="2"/>
        <v>75900</v>
      </c>
      <c r="H25" s="24" t="s">
        <v>14</v>
      </c>
      <c r="I25" s="6"/>
      <c r="J25" s="4">
        <v>23</v>
      </c>
    </row>
    <row r="26" spans="1:10" x14ac:dyDescent="0.4">
      <c r="A26" s="71"/>
      <c r="B26" s="37" t="s">
        <v>66</v>
      </c>
      <c r="C26" s="37" t="s">
        <v>67</v>
      </c>
      <c r="D26" s="37" t="s">
        <v>68</v>
      </c>
      <c r="E26" s="30">
        <v>240000</v>
      </c>
      <c r="F26" s="17">
        <f>E26*0.1</f>
        <v>24000</v>
      </c>
      <c r="G26" s="17">
        <f t="shared" si="2"/>
        <v>264000</v>
      </c>
      <c r="H26" s="24" t="s">
        <v>14</v>
      </c>
      <c r="I26" s="4"/>
      <c r="J26" s="4">
        <v>24</v>
      </c>
    </row>
    <row r="27" spans="1:10" x14ac:dyDescent="0.4">
      <c r="A27" s="77"/>
      <c r="B27" s="78" t="s">
        <v>173</v>
      </c>
      <c r="C27" s="78" t="s">
        <v>174</v>
      </c>
      <c r="D27" s="43" t="s">
        <v>175</v>
      </c>
      <c r="E27" s="30">
        <v>12000000</v>
      </c>
      <c r="F27" s="30">
        <v>1200000</v>
      </c>
      <c r="G27" s="29">
        <f>E27+F27</f>
        <v>13200000</v>
      </c>
      <c r="H27" s="38" t="s">
        <v>14</v>
      </c>
      <c r="I27" s="4" t="s">
        <v>176</v>
      </c>
      <c r="J27" s="4"/>
    </row>
    <row r="28" spans="1:10" x14ac:dyDescent="0.4">
      <c r="A28" s="77"/>
      <c r="B28" s="43" t="s">
        <v>69</v>
      </c>
      <c r="C28" s="43" t="s">
        <v>70</v>
      </c>
      <c r="D28" s="43" t="s">
        <v>71</v>
      </c>
      <c r="E28" s="30">
        <v>100000</v>
      </c>
      <c r="F28" s="45">
        <f>E28*0.1</f>
        <v>10000</v>
      </c>
      <c r="G28" s="29">
        <f>E28+F28</f>
        <v>110000</v>
      </c>
      <c r="H28" s="38" t="s">
        <v>14</v>
      </c>
      <c r="I28" s="4"/>
      <c r="J28" s="4">
        <v>25</v>
      </c>
    </row>
    <row r="29" spans="1:10" x14ac:dyDescent="0.4">
      <c r="A29" s="77"/>
      <c r="B29" s="31" t="s">
        <v>72</v>
      </c>
      <c r="C29" s="46" t="s">
        <v>73</v>
      </c>
      <c r="D29" s="43" t="s">
        <v>177</v>
      </c>
      <c r="E29" s="30">
        <v>4090909</v>
      </c>
      <c r="F29" s="30">
        <v>409091</v>
      </c>
      <c r="G29" s="29">
        <f>E29+F29</f>
        <v>4500000</v>
      </c>
      <c r="H29" s="35" t="s">
        <v>14</v>
      </c>
      <c r="I29" s="4"/>
      <c r="J29" s="4">
        <v>26</v>
      </c>
    </row>
    <row r="30" spans="1:10" ht="18" thickBot="1" x14ac:dyDescent="0.45">
      <c r="A30" s="79"/>
      <c r="B30" s="80" t="s">
        <v>72</v>
      </c>
      <c r="C30" s="81" t="s">
        <v>73</v>
      </c>
      <c r="D30" s="80" t="s">
        <v>74</v>
      </c>
      <c r="E30" s="82">
        <v>300000</v>
      </c>
      <c r="F30" s="83">
        <f>E30*0.1</f>
        <v>30000</v>
      </c>
      <c r="G30" s="83">
        <f t="shared" si="2"/>
        <v>330000</v>
      </c>
      <c r="H30" s="84" t="s">
        <v>14</v>
      </c>
      <c r="I30" s="4"/>
      <c r="J30" s="4">
        <v>26</v>
      </c>
    </row>
    <row r="31" spans="1:10" x14ac:dyDescent="0.4">
      <c r="A31" s="85" t="s">
        <v>178</v>
      </c>
      <c r="B31" s="86" t="s">
        <v>134</v>
      </c>
      <c r="C31" s="86" t="s">
        <v>135</v>
      </c>
      <c r="D31" s="86" t="s">
        <v>179</v>
      </c>
      <c r="E31" s="87">
        <v>4158000</v>
      </c>
      <c r="F31" s="87">
        <v>415800</v>
      </c>
      <c r="G31" s="88">
        <f t="shared" si="2"/>
        <v>4573800</v>
      </c>
      <c r="H31" s="89" t="s">
        <v>14</v>
      </c>
      <c r="I31" s="7"/>
      <c r="J31" s="4">
        <v>1</v>
      </c>
    </row>
    <row r="32" spans="1:10" x14ac:dyDescent="0.4">
      <c r="A32" s="90" t="s">
        <v>178</v>
      </c>
      <c r="B32" s="43" t="s">
        <v>137</v>
      </c>
      <c r="C32" s="43" t="s">
        <v>138</v>
      </c>
      <c r="D32" s="43" t="s">
        <v>180</v>
      </c>
      <c r="E32" s="30">
        <v>2100000</v>
      </c>
      <c r="F32" s="30">
        <v>210000</v>
      </c>
      <c r="G32" s="53">
        <f t="shared" si="2"/>
        <v>2310000</v>
      </c>
      <c r="H32" s="38" t="s">
        <v>14</v>
      </c>
      <c r="I32" s="7"/>
      <c r="J32" s="4">
        <v>2</v>
      </c>
    </row>
    <row r="33" spans="1:10" x14ac:dyDescent="0.4">
      <c r="A33" s="90" t="s">
        <v>178</v>
      </c>
      <c r="B33" s="43" t="s">
        <v>181</v>
      </c>
      <c r="C33" s="43" t="s">
        <v>182</v>
      </c>
      <c r="D33" s="43" t="s">
        <v>183</v>
      </c>
      <c r="E33" s="30">
        <v>60000</v>
      </c>
      <c r="F33" s="30">
        <v>6000</v>
      </c>
      <c r="G33" s="53">
        <f t="shared" si="2"/>
        <v>66000</v>
      </c>
      <c r="H33" s="24" t="s">
        <v>14</v>
      </c>
      <c r="I33" s="7"/>
      <c r="J33" s="4">
        <v>3</v>
      </c>
    </row>
    <row r="34" spans="1:10" x14ac:dyDescent="0.4">
      <c r="A34" s="90" t="s">
        <v>178</v>
      </c>
      <c r="B34" s="43" t="s">
        <v>143</v>
      </c>
      <c r="C34" s="43" t="s">
        <v>144</v>
      </c>
      <c r="D34" s="43" t="s">
        <v>145</v>
      </c>
      <c r="E34" s="30">
        <v>948000</v>
      </c>
      <c r="F34" s="30">
        <v>94800</v>
      </c>
      <c r="G34" s="53">
        <f t="shared" si="2"/>
        <v>1042800</v>
      </c>
      <c r="H34" s="24" t="s">
        <v>14</v>
      </c>
      <c r="I34" s="7"/>
      <c r="J34" s="4">
        <v>4</v>
      </c>
    </row>
    <row r="35" spans="1:10" x14ac:dyDescent="0.4">
      <c r="A35" s="90" t="s">
        <v>178</v>
      </c>
      <c r="B35" s="43" t="s">
        <v>146</v>
      </c>
      <c r="C35" s="43" t="s">
        <v>147</v>
      </c>
      <c r="D35" s="43" t="s">
        <v>148</v>
      </c>
      <c r="E35" s="30">
        <v>4600000</v>
      </c>
      <c r="F35" s="30">
        <v>460000</v>
      </c>
      <c r="G35" s="53">
        <f t="shared" si="2"/>
        <v>5060000</v>
      </c>
      <c r="H35" s="35" t="s">
        <v>14</v>
      </c>
      <c r="I35" s="7"/>
      <c r="J35" s="4">
        <v>5</v>
      </c>
    </row>
    <row r="36" spans="1:10" x14ac:dyDescent="0.4">
      <c r="A36" s="90" t="s">
        <v>178</v>
      </c>
      <c r="B36" s="43" t="s">
        <v>153</v>
      </c>
      <c r="C36" s="43" t="s">
        <v>154</v>
      </c>
      <c r="D36" s="43" t="s">
        <v>155</v>
      </c>
      <c r="E36" s="30">
        <v>3090000</v>
      </c>
      <c r="F36" s="30">
        <v>309000</v>
      </c>
      <c r="G36" s="53">
        <f t="shared" si="2"/>
        <v>3399000</v>
      </c>
      <c r="H36" s="24" t="s">
        <v>14</v>
      </c>
      <c r="I36" s="7"/>
      <c r="J36" s="4">
        <v>6</v>
      </c>
    </row>
    <row r="37" spans="1:10" x14ac:dyDescent="0.4">
      <c r="A37" s="90" t="s">
        <v>178</v>
      </c>
      <c r="B37" s="43" t="s">
        <v>159</v>
      </c>
      <c r="C37" s="43" t="s">
        <v>160</v>
      </c>
      <c r="D37" s="43" t="s">
        <v>161</v>
      </c>
      <c r="E37" s="30">
        <v>5247500</v>
      </c>
      <c r="F37" s="30">
        <v>524750</v>
      </c>
      <c r="G37" s="53">
        <f t="shared" si="2"/>
        <v>5772250</v>
      </c>
      <c r="H37" s="38" t="s">
        <v>14</v>
      </c>
      <c r="I37" s="7"/>
      <c r="J37" s="4">
        <v>7</v>
      </c>
    </row>
    <row r="38" spans="1:10" x14ac:dyDescent="0.4">
      <c r="A38" s="90" t="s">
        <v>184</v>
      </c>
      <c r="B38" s="43" t="s">
        <v>140</v>
      </c>
      <c r="C38" s="43" t="s">
        <v>141</v>
      </c>
      <c r="D38" s="43" t="s">
        <v>185</v>
      </c>
      <c r="E38" s="30">
        <v>6668244</v>
      </c>
      <c r="F38" s="30">
        <v>666824</v>
      </c>
      <c r="G38" s="53">
        <f t="shared" si="2"/>
        <v>7335068</v>
      </c>
      <c r="H38" s="24" t="s">
        <v>14</v>
      </c>
      <c r="I38" s="7"/>
      <c r="J38" s="4">
        <v>8</v>
      </c>
    </row>
    <row r="39" spans="1:10" x14ac:dyDescent="0.4">
      <c r="A39" s="90" t="s">
        <v>184</v>
      </c>
      <c r="B39" s="43" t="s">
        <v>186</v>
      </c>
      <c r="C39" s="43" t="s">
        <v>187</v>
      </c>
      <c r="D39" s="43" t="s">
        <v>188</v>
      </c>
      <c r="E39" s="30">
        <v>460000</v>
      </c>
      <c r="F39" s="30">
        <v>46000</v>
      </c>
      <c r="G39" s="53">
        <f t="shared" si="2"/>
        <v>506000</v>
      </c>
      <c r="H39" s="24" t="s">
        <v>14</v>
      </c>
      <c r="I39" s="7"/>
      <c r="J39" s="4">
        <v>9</v>
      </c>
    </row>
    <row r="40" spans="1:10" x14ac:dyDescent="0.4">
      <c r="A40" s="90" t="s">
        <v>184</v>
      </c>
      <c r="B40" s="43" t="s">
        <v>128</v>
      </c>
      <c r="C40" s="43" t="s">
        <v>129</v>
      </c>
      <c r="D40" s="43" t="s">
        <v>130</v>
      </c>
      <c r="E40" s="30">
        <v>1200000</v>
      </c>
      <c r="F40" s="30">
        <v>120000</v>
      </c>
      <c r="G40" s="53">
        <f t="shared" si="2"/>
        <v>1320000</v>
      </c>
      <c r="H40" s="24" t="s">
        <v>14</v>
      </c>
      <c r="I40" s="7"/>
      <c r="J40" s="4">
        <v>10</v>
      </c>
    </row>
    <row r="41" spans="1:10" x14ac:dyDescent="0.4">
      <c r="A41" s="90" t="s">
        <v>184</v>
      </c>
      <c r="B41" s="43" t="s">
        <v>156</v>
      </c>
      <c r="C41" s="43" t="s">
        <v>157</v>
      </c>
      <c r="D41" s="43" t="s">
        <v>158</v>
      </c>
      <c r="E41" s="30">
        <v>3167600</v>
      </c>
      <c r="F41" s="30">
        <v>316760</v>
      </c>
      <c r="G41" s="53">
        <f t="shared" si="2"/>
        <v>3484360</v>
      </c>
      <c r="H41" s="24" t="s">
        <v>14</v>
      </c>
      <c r="I41" s="7"/>
      <c r="J41" s="4">
        <v>11</v>
      </c>
    </row>
    <row r="42" spans="1:10" x14ac:dyDescent="0.4">
      <c r="A42" s="90" t="s">
        <v>184</v>
      </c>
      <c r="B42" s="43" t="s">
        <v>169</v>
      </c>
      <c r="C42" s="43" t="s">
        <v>170</v>
      </c>
      <c r="D42" s="43" t="s">
        <v>189</v>
      </c>
      <c r="E42" s="30">
        <v>240000</v>
      </c>
      <c r="F42" s="30">
        <v>24000</v>
      </c>
      <c r="G42" s="53">
        <f t="shared" si="2"/>
        <v>264000</v>
      </c>
      <c r="H42" s="24" t="s">
        <v>14</v>
      </c>
      <c r="I42" s="7"/>
      <c r="J42" s="4">
        <v>12</v>
      </c>
    </row>
    <row r="43" spans="1:10" x14ac:dyDescent="0.4">
      <c r="A43" s="90" t="s">
        <v>184</v>
      </c>
      <c r="B43" s="43" t="s">
        <v>190</v>
      </c>
      <c r="C43" s="43" t="s">
        <v>191</v>
      </c>
      <c r="D43" s="43" t="s">
        <v>192</v>
      </c>
      <c r="E43" s="30">
        <v>205000</v>
      </c>
      <c r="F43" s="30">
        <v>20500</v>
      </c>
      <c r="G43" s="53">
        <f t="shared" si="2"/>
        <v>225500</v>
      </c>
      <c r="H43" s="24" t="s">
        <v>14</v>
      </c>
      <c r="I43" s="54"/>
      <c r="J43" s="4">
        <v>13</v>
      </c>
    </row>
    <row r="44" spans="1:10" x14ac:dyDescent="0.4">
      <c r="A44" s="90" t="s">
        <v>193</v>
      </c>
      <c r="B44" s="43" t="s">
        <v>194</v>
      </c>
      <c r="C44" s="43" t="s">
        <v>195</v>
      </c>
      <c r="D44" s="43" t="s">
        <v>196</v>
      </c>
      <c r="E44" s="30">
        <v>330000</v>
      </c>
      <c r="F44" s="30">
        <v>33000</v>
      </c>
      <c r="G44" s="53">
        <f t="shared" si="2"/>
        <v>363000</v>
      </c>
      <c r="H44" s="24" t="s">
        <v>14</v>
      </c>
      <c r="I44" s="7"/>
      <c r="J44" s="4">
        <v>14</v>
      </c>
    </row>
    <row r="45" spans="1:10" x14ac:dyDescent="0.4">
      <c r="A45" s="90" t="s">
        <v>197</v>
      </c>
      <c r="B45" s="43" t="s">
        <v>194</v>
      </c>
      <c r="C45" s="43" t="s">
        <v>195</v>
      </c>
      <c r="D45" s="43" t="s">
        <v>198</v>
      </c>
      <c r="E45" s="30">
        <v>110000</v>
      </c>
      <c r="F45" s="30">
        <v>11000</v>
      </c>
      <c r="G45" s="53">
        <f>E45+F45</f>
        <v>121000</v>
      </c>
      <c r="H45" s="24" t="s">
        <v>14</v>
      </c>
      <c r="I45" s="7"/>
      <c r="J45" s="4"/>
    </row>
    <row r="46" spans="1:10" x14ac:dyDescent="0.4">
      <c r="A46" s="90" t="s">
        <v>199</v>
      </c>
      <c r="B46" s="43" t="s">
        <v>165</v>
      </c>
      <c r="C46" s="43" t="s">
        <v>166</v>
      </c>
      <c r="D46" s="43" t="s">
        <v>200</v>
      </c>
      <c r="E46" s="30">
        <v>1280000</v>
      </c>
      <c r="F46" s="30">
        <v>128000</v>
      </c>
      <c r="G46" s="53">
        <f t="shared" si="2"/>
        <v>1408000</v>
      </c>
      <c r="H46" s="24" t="s">
        <v>14</v>
      </c>
      <c r="I46" s="7"/>
      <c r="J46" s="4">
        <v>15</v>
      </c>
    </row>
    <row r="47" spans="1:10" x14ac:dyDescent="0.4">
      <c r="A47" s="90" t="s">
        <v>201</v>
      </c>
      <c r="B47" s="43" t="s">
        <v>140</v>
      </c>
      <c r="C47" s="43" t="s">
        <v>141</v>
      </c>
      <c r="D47" s="43" t="s">
        <v>185</v>
      </c>
      <c r="E47" s="30">
        <v>2293974</v>
      </c>
      <c r="F47" s="30">
        <v>229397</v>
      </c>
      <c r="G47" s="53">
        <f t="shared" si="2"/>
        <v>2523371</v>
      </c>
      <c r="H47" s="24" t="s">
        <v>14</v>
      </c>
      <c r="I47" s="7"/>
      <c r="J47" s="4">
        <v>16</v>
      </c>
    </row>
    <row r="48" spans="1:10" x14ac:dyDescent="0.4">
      <c r="A48" s="90" t="s">
        <v>202</v>
      </c>
      <c r="B48" s="43" t="s">
        <v>124</v>
      </c>
      <c r="C48" s="43" t="s">
        <v>125</v>
      </c>
      <c r="D48" s="43" t="s">
        <v>203</v>
      </c>
      <c r="E48" s="30">
        <v>200000</v>
      </c>
      <c r="F48" s="30">
        <v>20000</v>
      </c>
      <c r="G48" s="53">
        <f t="shared" si="2"/>
        <v>220000</v>
      </c>
      <c r="H48" s="24" t="s">
        <v>14</v>
      </c>
      <c r="I48" s="7"/>
      <c r="J48" s="4">
        <v>17</v>
      </c>
    </row>
    <row r="49" spans="1:10" x14ac:dyDescent="0.4">
      <c r="A49" s="90" t="s">
        <v>204</v>
      </c>
      <c r="B49" s="43" t="s">
        <v>205</v>
      </c>
      <c r="C49" s="43" t="s">
        <v>206</v>
      </c>
      <c r="D49" s="43" t="s">
        <v>207</v>
      </c>
      <c r="E49" s="30">
        <v>1635000</v>
      </c>
      <c r="F49" s="30">
        <v>163500</v>
      </c>
      <c r="G49" s="53">
        <f t="shared" si="2"/>
        <v>1798500</v>
      </c>
      <c r="H49" s="24" t="s">
        <v>14</v>
      </c>
      <c r="I49" s="7"/>
      <c r="J49" s="4">
        <v>19</v>
      </c>
    </row>
    <row r="50" spans="1:10" x14ac:dyDescent="0.4">
      <c r="A50" s="90" t="s">
        <v>208</v>
      </c>
      <c r="B50" s="43" t="s">
        <v>140</v>
      </c>
      <c r="C50" s="43" t="s">
        <v>141</v>
      </c>
      <c r="D50" s="43" t="s">
        <v>142</v>
      </c>
      <c r="E50" s="30">
        <v>2907192</v>
      </c>
      <c r="F50" s="30">
        <v>290719</v>
      </c>
      <c r="G50" s="53">
        <f t="shared" si="2"/>
        <v>3197911</v>
      </c>
      <c r="H50" s="24" t="s">
        <v>14</v>
      </c>
      <c r="I50" s="7"/>
      <c r="J50" s="4">
        <v>21</v>
      </c>
    </row>
    <row r="51" spans="1:10" x14ac:dyDescent="0.4">
      <c r="A51" s="90" t="s">
        <v>209</v>
      </c>
      <c r="B51" s="43" t="s">
        <v>210</v>
      </c>
      <c r="C51" s="43" t="s">
        <v>211</v>
      </c>
      <c r="D51" s="43" t="s">
        <v>212</v>
      </c>
      <c r="E51" s="30">
        <v>2340000</v>
      </c>
      <c r="F51" s="30">
        <v>234000</v>
      </c>
      <c r="G51" s="53">
        <f t="shared" si="2"/>
        <v>2574000</v>
      </c>
      <c r="H51" s="24" t="s">
        <v>14</v>
      </c>
      <c r="I51" s="7" t="s">
        <v>213</v>
      </c>
      <c r="J51" s="4">
        <v>22</v>
      </c>
    </row>
    <row r="52" spans="1:10" x14ac:dyDescent="0.4">
      <c r="A52" s="90" t="s">
        <v>214</v>
      </c>
      <c r="B52" s="43" t="s">
        <v>88</v>
      </c>
      <c r="C52" s="43" t="s">
        <v>89</v>
      </c>
      <c r="D52" s="43" t="s">
        <v>90</v>
      </c>
      <c r="E52" s="30">
        <v>34455</v>
      </c>
      <c r="F52" s="30">
        <v>3445</v>
      </c>
      <c r="G52" s="53">
        <f t="shared" si="2"/>
        <v>37900</v>
      </c>
      <c r="H52" s="24" t="s">
        <v>14</v>
      </c>
      <c r="I52" s="7"/>
      <c r="J52" s="4">
        <v>23</v>
      </c>
    </row>
    <row r="53" spans="1:10" x14ac:dyDescent="0.4">
      <c r="A53" s="90" t="s">
        <v>197</v>
      </c>
      <c r="B53" s="43" t="s">
        <v>169</v>
      </c>
      <c r="C53" s="43" t="s">
        <v>170</v>
      </c>
      <c r="D53" s="43" t="s">
        <v>189</v>
      </c>
      <c r="E53" s="30">
        <v>480000</v>
      </c>
      <c r="F53" s="30">
        <v>48000</v>
      </c>
      <c r="G53" s="53">
        <f t="shared" si="2"/>
        <v>528000</v>
      </c>
      <c r="H53" s="24" t="s">
        <v>14</v>
      </c>
      <c r="I53" s="7"/>
      <c r="J53" s="4">
        <v>24</v>
      </c>
    </row>
    <row r="54" spans="1:10" x14ac:dyDescent="0.4">
      <c r="A54" s="90" t="s">
        <v>215</v>
      </c>
      <c r="B54" s="43" t="s">
        <v>216</v>
      </c>
      <c r="C54" s="43" t="s">
        <v>217</v>
      </c>
      <c r="D54" s="43" t="s">
        <v>218</v>
      </c>
      <c r="E54" s="30">
        <v>4000</v>
      </c>
      <c r="F54" s="30">
        <v>400</v>
      </c>
      <c r="G54" s="53">
        <f t="shared" si="2"/>
        <v>4400</v>
      </c>
      <c r="H54" s="24" t="s">
        <v>14</v>
      </c>
      <c r="I54" s="7"/>
      <c r="J54" s="4">
        <v>26</v>
      </c>
    </row>
    <row r="55" spans="1:10" x14ac:dyDescent="0.4">
      <c r="A55" s="90" t="s">
        <v>215</v>
      </c>
      <c r="B55" s="43" t="s">
        <v>219</v>
      </c>
      <c r="C55" s="43" t="s">
        <v>220</v>
      </c>
      <c r="D55" s="43" t="s">
        <v>221</v>
      </c>
      <c r="E55" s="30">
        <v>30000</v>
      </c>
      <c r="F55" s="30">
        <v>3000</v>
      </c>
      <c r="G55" s="53">
        <f t="shared" si="2"/>
        <v>33000</v>
      </c>
      <c r="H55" s="24" t="s">
        <v>14</v>
      </c>
      <c r="I55" s="7"/>
      <c r="J55" s="4"/>
    </row>
    <row r="56" spans="1:10" x14ac:dyDescent="0.4">
      <c r="A56" s="90" t="s">
        <v>215</v>
      </c>
      <c r="B56" s="43" t="s">
        <v>222</v>
      </c>
      <c r="C56" s="43" t="s">
        <v>223</v>
      </c>
      <c r="D56" s="43" t="s">
        <v>224</v>
      </c>
      <c r="E56" s="30">
        <v>1140000</v>
      </c>
      <c r="F56" s="30">
        <v>114000</v>
      </c>
      <c r="G56" s="53">
        <f t="shared" si="2"/>
        <v>1254000</v>
      </c>
      <c r="H56" s="24" t="s">
        <v>152</v>
      </c>
      <c r="I56" s="7" t="s">
        <v>225</v>
      </c>
      <c r="J56" s="4">
        <v>27</v>
      </c>
    </row>
    <row r="57" spans="1:10" x14ac:dyDescent="0.4">
      <c r="A57" s="90" t="s">
        <v>209</v>
      </c>
      <c r="B57" s="43" t="s">
        <v>103</v>
      </c>
      <c r="C57" s="43" t="s">
        <v>104</v>
      </c>
      <c r="D57" s="43" t="s">
        <v>105</v>
      </c>
      <c r="E57" s="30">
        <v>450000</v>
      </c>
      <c r="F57" s="30">
        <v>45000</v>
      </c>
      <c r="G57" s="53">
        <f t="shared" si="2"/>
        <v>495000</v>
      </c>
      <c r="H57" s="24" t="s">
        <v>14</v>
      </c>
      <c r="I57" s="54">
        <f>G57+G58+G59+G60</f>
        <v>2090000</v>
      </c>
      <c r="J57" s="4">
        <v>28</v>
      </c>
    </row>
    <row r="58" spans="1:10" x14ac:dyDescent="0.4">
      <c r="A58" s="90" t="s">
        <v>226</v>
      </c>
      <c r="B58" s="43" t="s">
        <v>103</v>
      </c>
      <c r="C58" s="43" t="s">
        <v>104</v>
      </c>
      <c r="D58" s="43" t="s">
        <v>227</v>
      </c>
      <c r="E58" s="30">
        <v>450000</v>
      </c>
      <c r="F58" s="30">
        <v>45000</v>
      </c>
      <c r="G58" s="53">
        <f t="shared" si="2"/>
        <v>495000</v>
      </c>
      <c r="H58" s="24" t="s">
        <v>14</v>
      </c>
      <c r="I58" s="7"/>
      <c r="J58" s="4">
        <v>29</v>
      </c>
    </row>
    <row r="59" spans="1:10" x14ac:dyDescent="0.4">
      <c r="A59" s="90" t="s">
        <v>208</v>
      </c>
      <c r="B59" s="43" t="s">
        <v>103</v>
      </c>
      <c r="C59" s="43" t="s">
        <v>104</v>
      </c>
      <c r="D59" s="43" t="s">
        <v>105</v>
      </c>
      <c r="E59" s="30">
        <v>450000</v>
      </c>
      <c r="F59" s="30">
        <v>45000</v>
      </c>
      <c r="G59" s="53">
        <f t="shared" si="2"/>
        <v>495000</v>
      </c>
      <c r="H59" s="24" t="s">
        <v>14</v>
      </c>
      <c r="I59" s="54"/>
      <c r="J59" s="4">
        <v>30</v>
      </c>
    </row>
    <row r="60" spans="1:10" x14ac:dyDescent="0.4">
      <c r="A60" s="90" t="s">
        <v>228</v>
      </c>
      <c r="B60" s="43" t="s">
        <v>103</v>
      </c>
      <c r="C60" s="43" t="s">
        <v>104</v>
      </c>
      <c r="D60" s="43" t="s">
        <v>105</v>
      </c>
      <c r="E60" s="30">
        <v>550000</v>
      </c>
      <c r="F60" s="30">
        <v>55000</v>
      </c>
      <c r="G60" s="53">
        <f>E60+F60</f>
        <v>605000</v>
      </c>
      <c r="H60" s="24" t="s">
        <v>14</v>
      </c>
      <c r="I60" s="54"/>
      <c r="J60" s="4">
        <v>31</v>
      </c>
    </row>
    <row r="61" spans="1:10" x14ac:dyDescent="0.4">
      <c r="A61" s="90"/>
      <c r="B61" s="43"/>
      <c r="C61" s="43"/>
      <c r="D61" s="43"/>
      <c r="E61" s="30"/>
      <c r="F61" s="29"/>
      <c r="G61" s="53"/>
      <c r="H61" s="24" t="s">
        <v>14</v>
      </c>
      <c r="I61" s="54"/>
      <c r="J61" s="4">
        <v>32</v>
      </c>
    </row>
    <row r="62" spans="1:10" x14ac:dyDescent="0.4">
      <c r="A62" s="91"/>
      <c r="B62" s="57"/>
      <c r="C62" s="57"/>
      <c r="D62" s="57"/>
      <c r="E62" s="92"/>
      <c r="F62" s="59"/>
      <c r="G62" s="60"/>
      <c r="H62" s="24" t="s">
        <v>14</v>
      </c>
      <c r="I62" s="54"/>
      <c r="J62" s="4">
        <v>33</v>
      </c>
    </row>
    <row r="63" spans="1:10" x14ac:dyDescent="0.4">
      <c r="A63" s="61"/>
      <c r="B63" s="56"/>
      <c r="C63" s="57"/>
      <c r="D63" s="56"/>
      <c r="E63" s="58"/>
      <c r="F63" s="59"/>
      <c r="G63" s="60"/>
      <c r="H63" s="24" t="s">
        <v>14</v>
      </c>
      <c r="I63" s="54"/>
      <c r="J63" s="4">
        <v>34</v>
      </c>
    </row>
    <row r="64" spans="1:10" x14ac:dyDescent="0.4">
      <c r="A64" s="61"/>
      <c r="B64" s="56"/>
      <c r="C64" s="57"/>
      <c r="D64" s="56"/>
      <c r="E64" s="58"/>
      <c r="F64" s="59"/>
      <c r="G64" s="60"/>
      <c r="H64" s="24" t="s">
        <v>14</v>
      </c>
      <c r="I64" s="54"/>
      <c r="J64" s="4">
        <v>35</v>
      </c>
    </row>
    <row r="65" spans="1:10" x14ac:dyDescent="0.4">
      <c r="A65" s="61"/>
      <c r="B65" s="56"/>
      <c r="C65" s="57"/>
      <c r="D65" s="56"/>
      <c r="E65" s="58"/>
      <c r="F65" s="59"/>
      <c r="G65" s="60"/>
      <c r="H65" s="24" t="s">
        <v>14</v>
      </c>
      <c r="I65" s="54"/>
      <c r="J65" s="4">
        <v>36</v>
      </c>
    </row>
    <row r="66" spans="1:10" ht="18" thickBot="1" x14ac:dyDescent="0.45">
      <c r="A66" s="61"/>
      <c r="B66" s="56"/>
      <c r="C66" s="57"/>
      <c r="D66" s="56"/>
      <c r="E66" s="58"/>
      <c r="F66" s="59"/>
      <c r="G66" s="60"/>
      <c r="H66" s="24" t="s">
        <v>14</v>
      </c>
      <c r="I66" s="54"/>
      <c r="J66" s="4">
        <v>37</v>
      </c>
    </row>
    <row r="67" spans="1:10" ht="18" thickBot="1" x14ac:dyDescent="0.45">
      <c r="A67" s="62"/>
      <c r="B67" s="63" t="s">
        <v>8</v>
      </c>
      <c r="C67" s="64"/>
      <c r="D67" s="65"/>
      <c r="E67" s="66">
        <f>SUM(E4:E66)</f>
        <v>86062930</v>
      </c>
      <c r="F67" s="66">
        <f>SUM(F4:F66)</f>
        <v>8606290</v>
      </c>
      <c r="G67" s="67">
        <f>SUM(G4:G66)</f>
        <v>94669220</v>
      </c>
      <c r="H67" s="68"/>
      <c r="I67" s="7"/>
      <c r="J67" s="7"/>
    </row>
    <row r="68" spans="1:10" x14ac:dyDescent="0.4">
      <c r="A68" s="1"/>
      <c r="B68" s="2"/>
      <c r="C68" s="8"/>
      <c r="D68" s="4"/>
      <c r="E68" s="5"/>
      <c r="F68" s="5"/>
      <c r="G68" s="5"/>
      <c r="H68" s="6"/>
      <c r="I68" s="7"/>
      <c r="J68" s="7"/>
    </row>
    <row r="69" spans="1:10" x14ac:dyDescent="0.4">
      <c r="A69" s="1"/>
      <c r="B69" s="2"/>
      <c r="C69" s="8"/>
      <c r="D69" s="4"/>
      <c r="E69" s="5"/>
      <c r="F69" s="5"/>
      <c r="G69" s="5"/>
      <c r="H69" s="6"/>
      <c r="I69" s="7"/>
      <c r="J69" s="7"/>
    </row>
    <row r="70" spans="1:10" ht="20.399999999999999" x14ac:dyDescent="0.4">
      <c r="A70" s="1"/>
      <c r="B70" s="2"/>
      <c r="C70" s="3"/>
      <c r="D70" s="4"/>
      <c r="E70" s="5"/>
      <c r="F70" s="5"/>
      <c r="G70" s="5"/>
      <c r="H70" s="6"/>
      <c r="I70" s="7"/>
      <c r="J70" s="7"/>
    </row>
    <row r="71" spans="1:10" ht="18" thickBot="1" x14ac:dyDescent="0.45">
      <c r="A71" s="1"/>
      <c r="B71" s="2"/>
      <c r="C71" s="8"/>
      <c r="D71" s="4"/>
      <c r="E71" s="5"/>
      <c r="F71" s="5"/>
      <c r="G71" s="5"/>
      <c r="H71" s="6"/>
      <c r="I71" s="7"/>
      <c r="J71" s="7"/>
    </row>
    <row r="72" spans="1:10" ht="18" thickBot="1" x14ac:dyDescent="0.45">
      <c r="A72" s="9"/>
      <c r="B72" s="10"/>
      <c r="C72" s="11"/>
      <c r="D72" s="10"/>
      <c r="E72" s="10"/>
      <c r="F72" s="10"/>
      <c r="G72" s="10"/>
      <c r="H72" s="12"/>
      <c r="I72" s="6"/>
      <c r="J72" s="6"/>
    </row>
    <row r="73" spans="1:10" x14ac:dyDescent="0.4">
      <c r="A73" s="69"/>
      <c r="B73" s="14"/>
      <c r="C73" s="14"/>
      <c r="D73" s="70"/>
      <c r="E73" s="16"/>
      <c r="F73" s="17"/>
      <c r="G73" s="18"/>
      <c r="H73" s="19"/>
      <c r="I73" s="4"/>
      <c r="J73" s="4"/>
    </row>
    <row r="74" spans="1:10" x14ac:dyDescent="0.4">
      <c r="A74" s="71"/>
      <c r="B74" s="21"/>
      <c r="C74" s="21"/>
      <c r="D74" s="37"/>
      <c r="E74" s="23"/>
      <c r="F74" s="17"/>
      <c r="G74" s="17"/>
      <c r="H74" s="24"/>
      <c r="I74" s="4"/>
      <c r="J74" s="4"/>
    </row>
    <row r="75" spans="1:10" x14ac:dyDescent="0.4">
      <c r="A75" s="71"/>
      <c r="B75" s="21"/>
      <c r="C75" s="21"/>
      <c r="D75" s="37"/>
      <c r="E75" s="25"/>
      <c r="F75" s="17"/>
      <c r="G75" s="17"/>
      <c r="H75" s="24"/>
      <c r="I75" s="4"/>
      <c r="J75" s="4"/>
    </row>
    <row r="76" spans="1:10" x14ac:dyDescent="0.4">
      <c r="A76" s="71"/>
      <c r="B76" s="21"/>
      <c r="C76" s="21"/>
      <c r="D76" s="37"/>
      <c r="E76" s="23"/>
      <c r="F76" s="17"/>
      <c r="G76" s="17"/>
      <c r="H76" s="24"/>
      <c r="I76" s="4"/>
      <c r="J76" s="4"/>
    </row>
    <row r="77" spans="1:10" x14ac:dyDescent="0.4">
      <c r="A77" s="71"/>
      <c r="B77" s="21"/>
      <c r="C77" s="21"/>
      <c r="D77" s="37"/>
      <c r="E77" s="23"/>
      <c r="F77" s="17"/>
      <c r="G77" s="26"/>
      <c r="H77" s="24"/>
      <c r="I77" s="4"/>
      <c r="J77" s="4"/>
    </row>
    <row r="78" spans="1:10" x14ac:dyDescent="0.4">
      <c r="A78" s="71"/>
      <c r="B78" s="21"/>
      <c r="C78" s="21"/>
      <c r="D78" s="31"/>
      <c r="E78" s="28"/>
      <c r="F78" s="17"/>
      <c r="G78" s="29"/>
      <c r="H78" s="24"/>
      <c r="I78" s="4"/>
      <c r="J78" s="4"/>
    </row>
    <row r="79" spans="1:10" x14ac:dyDescent="0.4">
      <c r="A79" s="71"/>
      <c r="B79" s="21"/>
      <c r="C79" s="21"/>
      <c r="D79" s="37"/>
      <c r="E79" s="30"/>
      <c r="F79" s="30"/>
      <c r="G79" s="29"/>
      <c r="H79" s="24"/>
      <c r="I79" s="4"/>
      <c r="J79" s="4"/>
    </row>
    <row r="80" spans="1:10" x14ac:dyDescent="0.4">
      <c r="A80" s="71"/>
      <c r="B80" s="31"/>
      <c r="C80" s="31"/>
      <c r="D80" s="72"/>
      <c r="E80" s="30"/>
      <c r="F80" s="17"/>
      <c r="G80" s="17"/>
      <c r="H80" s="24"/>
      <c r="I80" s="4"/>
      <c r="J80" s="4"/>
    </row>
    <row r="81" spans="1:10" x14ac:dyDescent="0.4">
      <c r="A81" s="71"/>
      <c r="B81" s="31"/>
      <c r="C81" s="31"/>
      <c r="D81" s="73"/>
      <c r="E81" s="30"/>
      <c r="F81" s="30"/>
      <c r="G81" s="29"/>
      <c r="H81" s="24"/>
      <c r="I81" s="4"/>
      <c r="J81" s="4"/>
    </row>
    <row r="82" spans="1:10" x14ac:dyDescent="0.4">
      <c r="A82" s="71"/>
      <c r="B82" s="21"/>
      <c r="C82" s="21"/>
      <c r="D82" s="74"/>
      <c r="E82" s="30"/>
      <c r="F82" s="30"/>
      <c r="G82" s="17"/>
      <c r="H82" s="35"/>
      <c r="I82" s="36"/>
      <c r="J82" s="4"/>
    </row>
    <row r="83" spans="1:10" x14ac:dyDescent="0.4">
      <c r="A83" s="71"/>
      <c r="B83" s="37"/>
      <c r="C83" s="37"/>
      <c r="D83" s="74"/>
      <c r="E83" s="30"/>
      <c r="F83" s="17"/>
      <c r="G83" s="29"/>
      <c r="H83" s="38"/>
      <c r="I83" s="4"/>
      <c r="J83" s="4"/>
    </row>
    <row r="84" spans="1:10" x14ac:dyDescent="0.4">
      <c r="A84" s="71"/>
      <c r="B84" s="31"/>
      <c r="C84" s="31"/>
      <c r="D84" s="75"/>
      <c r="E84" s="30"/>
      <c r="F84" s="30"/>
      <c r="G84" s="17"/>
      <c r="H84" s="24"/>
      <c r="I84" s="36"/>
      <c r="J84" s="4"/>
    </row>
    <row r="85" spans="1:10" x14ac:dyDescent="0.4">
      <c r="A85" s="71"/>
      <c r="B85" s="31"/>
      <c r="C85" s="31"/>
      <c r="D85" s="75"/>
      <c r="E85" s="30"/>
      <c r="F85" s="30"/>
      <c r="G85" s="17"/>
      <c r="H85" s="24"/>
      <c r="I85" s="4"/>
      <c r="J85" s="4"/>
    </row>
    <row r="86" spans="1:10" x14ac:dyDescent="0.4">
      <c r="A86" s="71"/>
      <c r="B86" s="31"/>
      <c r="C86" s="31"/>
      <c r="D86" s="37"/>
      <c r="E86" s="30"/>
      <c r="F86" s="17"/>
      <c r="G86" s="17"/>
      <c r="H86" s="38"/>
      <c r="I86" s="4"/>
      <c r="J86" s="4"/>
    </row>
    <row r="87" spans="1:10" x14ac:dyDescent="0.4">
      <c r="A87" s="71"/>
      <c r="B87" s="21"/>
      <c r="C87" s="21"/>
      <c r="D87" s="37"/>
      <c r="E87" s="30"/>
      <c r="F87" s="17"/>
      <c r="G87" s="17"/>
      <c r="H87" s="24"/>
      <c r="I87" s="4"/>
      <c r="J87" s="4"/>
    </row>
    <row r="88" spans="1:10" x14ac:dyDescent="0.4">
      <c r="A88" s="71"/>
      <c r="B88" s="31"/>
      <c r="C88" s="31"/>
      <c r="D88" s="37"/>
      <c r="E88" s="76"/>
      <c r="F88" s="17"/>
      <c r="G88" s="17"/>
      <c r="H88" s="24"/>
      <c r="I88" s="4"/>
      <c r="J88" s="4"/>
    </row>
    <row r="89" spans="1:10" x14ac:dyDescent="0.4">
      <c r="A89" s="71"/>
      <c r="B89" s="21"/>
      <c r="C89" s="21"/>
      <c r="D89" s="37"/>
      <c r="E89" s="76"/>
      <c r="F89" s="17"/>
      <c r="G89" s="17"/>
      <c r="H89" s="24"/>
      <c r="I89" s="4"/>
      <c r="J89" s="4"/>
    </row>
    <row r="90" spans="1:10" x14ac:dyDescent="0.4">
      <c r="A90" s="71"/>
      <c r="B90" s="21"/>
      <c r="C90" s="21"/>
      <c r="D90" s="37"/>
      <c r="E90" s="76"/>
      <c r="F90" s="17"/>
      <c r="G90" s="17"/>
      <c r="H90" s="24"/>
      <c r="I90" s="4"/>
      <c r="J90" s="4"/>
    </row>
    <row r="91" spans="1:10" x14ac:dyDescent="0.4">
      <c r="A91" s="71"/>
      <c r="B91" s="21"/>
      <c r="C91" s="21"/>
      <c r="D91" s="37"/>
      <c r="E91" s="23"/>
      <c r="F91" s="17"/>
      <c r="G91" s="17"/>
      <c r="H91" s="24"/>
      <c r="I91" s="4"/>
      <c r="J91" s="4"/>
    </row>
    <row r="92" spans="1:10" x14ac:dyDescent="0.4">
      <c r="A92" s="71"/>
      <c r="B92" s="21"/>
      <c r="C92" s="21"/>
      <c r="D92" s="37"/>
      <c r="E92" s="41"/>
      <c r="F92" s="17"/>
      <c r="G92" s="17"/>
      <c r="H92" s="24"/>
      <c r="I92" s="4"/>
      <c r="J92" s="4"/>
    </row>
    <row r="93" spans="1:10" x14ac:dyDescent="0.4">
      <c r="A93" s="71"/>
      <c r="B93" s="37"/>
      <c r="C93" s="37"/>
      <c r="D93" s="37"/>
      <c r="E93" s="30"/>
      <c r="F93" s="17"/>
      <c r="G93" s="17"/>
      <c r="H93" s="24"/>
      <c r="I93" s="6"/>
      <c r="J93" s="4"/>
    </row>
    <row r="94" spans="1:10" x14ac:dyDescent="0.4">
      <c r="A94" s="71"/>
      <c r="B94" s="37"/>
      <c r="C94" s="37"/>
      <c r="D94" s="37"/>
      <c r="E94" s="30"/>
      <c r="F94" s="17"/>
      <c r="G94" s="17"/>
      <c r="H94" s="24"/>
      <c r="I94" s="6"/>
      <c r="J94" s="4"/>
    </row>
    <row r="95" spans="1:10" x14ac:dyDescent="0.4">
      <c r="A95" s="71"/>
      <c r="B95" s="37"/>
      <c r="C95" s="37"/>
      <c r="D95" s="37"/>
      <c r="E95" s="30"/>
      <c r="F95" s="17"/>
      <c r="G95" s="17"/>
      <c r="H95" s="24"/>
      <c r="I95" s="4"/>
      <c r="J95" s="4"/>
    </row>
    <row r="96" spans="1:10" x14ac:dyDescent="0.4">
      <c r="A96" s="77"/>
      <c r="B96" s="43"/>
      <c r="C96" s="43"/>
      <c r="D96" s="43"/>
      <c r="E96" s="30"/>
      <c r="F96" s="45"/>
      <c r="G96" s="29"/>
      <c r="H96" s="38"/>
      <c r="I96" s="4"/>
      <c r="J96" s="4"/>
    </row>
    <row r="97" spans="1:10" x14ac:dyDescent="0.4">
      <c r="A97" s="77"/>
      <c r="B97" s="31"/>
      <c r="C97" s="46"/>
      <c r="D97" s="31"/>
      <c r="E97" s="93"/>
      <c r="F97" s="29"/>
      <c r="G97" s="29"/>
      <c r="H97" s="35"/>
      <c r="I97" s="4"/>
      <c r="J97" s="4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924FF-74D5-4223-9F13-4F0A5BC826AC}">
  <dimension ref="A1:J65"/>
  <sheetViews>
    <sheetView tabSelected="1" workbookViewId="0">
      <selection sqref="A1:J65"/>
    </sheetView>
  </sheetViews>
  <sheetFormatPr defaultRowHeight="17.399999999999999" x14ac:dyDescent="0.4"/>
  <sheetData>
    <row r="1" spans="1:10" ht="20.399999999999999" x14ac:dyDescent="0.4">
      <c r="A1" s="1" t="s">
        <v>229</v>
      </c>
      <c r="B1" s="2"/>
      <c r="C1" s="3" t="s">
        <v>1</v>
      </c>
      <c r="D1" s="4"/>
      <c r="E1" s="5"/>
      <c r="F1" s="5"/>
      <c r="G1" s="5"/>
      <c r="H1" s="6"/>
      <c r="I1" s="7"/>
      <c r="J1" s="7"/>
    </row>
    <row r="2" spans="1:10" ht="18" thickBot="1" x14ac:dyDescent="0.45">
      <c r="A2" s="1"/>
      <c r="B2" s="2"/>
      <c r="C2" s="8"/>
      <c r="D2" s="4"/>
      <c r="E2" s="5"/>
      <c r="F2" s="5"/>
      <c r="G2" s="5"/>
      <c r="H2" s="6"/>
      <c r="I2" s="7"/>
      <c r="J2" s="7"/>
    </row>
    <row r="3" spans="1:10" ht="18" thickBot="1" x14ac:dyDescent="0.45">
      <c r="A3" s="9" t="s">
        <v>2</v>
      </c>
      <c r="B3" s="10" t="s">
        <v>3</v>
      </c>
      <c r="C3" s="11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2" t="s">
        <v>9</v>
      </c>
      <c r="I3" s="6" t="s">
        <v>230</v>
      </c>
      <c r="J3" s="6"/>
    </row>
    <row r="4" spans="1:10" x14ac:dyDescent="0.4">
      <c r="A4" s="69"/>
      <c r="B4" s="14" t="s">
        <v>11</v>
      </c>
      <c r="C4" s="14" t="s">
        <v>12</v>
      </c>
      <c r="D4" s="70" t="s">
        <v>13</v>
      </c>
      <c r="E4" s="16">
        <v>52696</v>
      </c>
      <c r="F4" s="17">
        <f t="shared" ref="F4:F9" si="0">E4*0.1</f>
        <v>5269.6</v>
      </c>
      <c r="G4" s="18">
        <f t="shared" ref="G4:G17" si="1">E4+F4</f>
        <v>57965.599999999999</v>
      </c>
      <c r="H4" s="19" t="s">
        <v>14</v>
      </c>
      <c r="I4" s="4" t="s">
        <v>15</v>
      </c>
      <c r="J4" s="4">
        <v>1</v>
      </c>
    </row>
    <row r="5" spans="1:10" x14ac:dyDescent="0.4">
      <c r="A5" s="71"/>
      <c r="B5" s="21" t="s">
        <v>16</v>
      </c>
      <c r="C5" s="21" t="s">
        <v>16</v>
      </c>
      <c r="D5" s="37" t="s">
        <v>17</v>
      </c>
      <c r="E5" s="23">
        <v>16471</v>
      </c>
      <c r="F5" s="17">
        <f t="shared" si="0"/>
        <v>1647.1000000000001</v>
      </c>
      <c r="G5" s="17">
        <f t="shared" si="1"/>
        <v>18118.099999999999</v>
      </c>
      <c r="H5" s="24" t="s">
        <v>14</v>
      </c>
      <c r="I5" s="4" t="s">
        <v>18</v>
      </c>
      <c r="J5" s="4">
        <v>2</v>
      </c>
    </row>
    <row r="6" spans="1:10" x14ac:dyDescent="0.4">
      <c r="A6" s="71"/>
      <c r="B6" s="21" t="s">
        <v>16</v>
      </c>
      <c r="C6" s="21" t="s">
        <v>16</v>
      </c>
      <c r="D6" s="37" t="s">
        <v>19</v>
      </c>
      <c r="E6" s="25"/>
      <c r="F6" s="17">
        <f t="shared" si="0"/>
        <v>0</v>
      </c>
      <c r="G6" s="17">
        <f t="shared" si="1"/>
        <v>0</v>
      </c>
      <c r="H6" s="24" t="s">
        <v>14</v>
      </c>
      <c r="I6" s="4" t="s">
        <v>20</v>
      </c>
      <c r="J6" s="4">
        <v>3</v>
      </c>
    </row>
    <row r="7" spans="1:10" x14ac:dyDescent="0.4">
      <c r="A7" s="71"/>
      <c r="B7" s="21" t="s">
        <v>16</v>
      </c>
      <c r="C7" s="21" t="s">
        <v>16</v>
      </c>
      <c r="D7" s="37" t="s">
        <v>21</v>
      </c>
      <c r="E7" s="23">
        <v>28864</v>
      </c>
      <c r="F7" s="17">
        <f t="shared" si="0"/>
        <v>2886.4</v>
      </c>
      <c r="G7" s="17">
        <f t="shared" si="1"/>
        <v>31750.400000000001</v>
      </c>
      <c r="H7" s="24" t="s">
        <v>14</v>
      </c>
      <c r="I7" s="4" t="s">
        <v>22</v>
      </c>
      <c r="J7" s="4">
        <v>4</v>
      </c>
    </row>
    <row r="8" spans="1:10" x14ac:dyDescent="0.4">
      <c r="A8" s="71"/>
      <c r="B8" s="21" t="s">
        <v>16</v>
      </c>
      <c r="C8" s="21" t="s">
        <v>16</v>
      </c>
      <c r="D8" s="37" t="s">
        <v>23</v>
      </c>
      <c r="E8" s="23">
        <v>15517</v>
      </c>
      <c r="F8" s="17">
        <f t="shared" si="0"/>
        <v>1551.7</v>
      </c>
      <c r="G8" s="26">
        <f t="shared" si="1"/>
        <v>17068.7</v>
      </c>
      <c r="H8" s="24" t="s">
        <v>14</v>
      </c>
      <c r="I8" s="4" t="s">
        <v>24</v>
      </c>
      <c r="J8" s="4">
        <v>5</v>
      </c>
    </row>
    <row r="9" spans="1:10" x14ac:dyDescent="0.4">
      <c r="A9" s="71"/>
      <c r="B9" s="21" t="s">
        <v>16</v>
      </c>
      <c r="C9" s="21" t="s">
        <v>16</v>
      </c>
      <c r="D9" s="31" t="s">
        <v>25</v>
      </c>
      <c r="E9" s="28">
        <v>16471</v>
      </c>
      <c r="F9" s="17">
        <f t="shared" si="0"/>
        <v>1647.1000000000001</v>
      </c>
      <c r="G9" s="29">
        <f t="shared" si="1"/>
        <v>18118.099999999999</v>
      </c>
      <c r="H9" s="24" t="s">
        <v>14</v>
      </c>
      <c r="I9" s="4" t="s">
        <v>26</v>
      </c>
      <c r="J9" s="4">
        <v>6</v>
      </c>
    </row>
    <row r="10" spans="1:10" x14ac:dyDescent="0.4">
      <c r="A10" s="71"/>
      <c r="B10" s="21" t="s">
        <v>16</v>
      </c>
      <c r="C10" s="21" t="s">
        <v>16</v>
      </c>
      <c r="D10" s="37" t="s">
        <v>27</v>
      </c>
      <c r="E10" s="30">
        <v>7673158</v>
      </c>
      <c r="F10" s="30">
        <v>767315</v>
      </c>
      <c r="G10" s="29">
        <f t="shared" si="1"/>
        <v>8440473</v>
      </c>
      <c r="H10" s="24" t="s">
        <v>14</v>
      </c>
      <c r="I10" s="4"/>
      <c r="J10" s="4">
        <v>7</v>
      </c>
    </row>
    <row r="11" spans="1:10" x14ac:dyDescent="0.4">
      <c r="A11" s="71"/>
      <c r="B11" s="31" t="s">
        <v>28</v>
      </c>
      <c r="C11" s="31" t="s">
        <v>29</v>
      </c>
      <c r="D11" s="72" t="s">
        <v>30</v>
      </c>
      <c r="E11" s="30">
        <v>100000</v>
      </c>
      <c r="F11" s="17">
        <f>E11*0.1</f>
        <v>10000</v>
      </c>
      <c r="G11" s="17">
        <f t="shared" si="1"/>
        <v>110000</v>
      </c>
      <c r="H11" s="24" t="s">
        <v>14</v>
      </c>
      <c r="I11" s="4"/>
      <c r="J11" s="4">
        <v>8</v>
      </c>
    </row>
    <row r="12" spans="1:10" x14ac:dyDescent="0.4">
      <c r="A12" s="71"/>
      <c r="B12" s="31" t="s">
        <v>31</v>
      </c>
      <c r="C12" s="31" t="s">
        <v>32</v>
      </c>
      <c r="D12" s="73" t="s">
        <v>33</v>
      </c>
      <c r="E12" s="30">
        <v>76091</v>
      </c>
      <c r="F12" s="30">
        <v>7609</v>
      </c>
      <c r="G12" s="29">
        <f t="shared" si="1"/>
        <v>83700</v>
      </c>
      <c r="H12" s="24" t="s">
        <v>14</v>
      </c>
      <c r="I12" s="4"/>
      <c r="J12" s="4">
        <v>9</v>
      </c>
    </row>
    <row r="13" spans="1:10" x14ac:dyDescent="0.4">
      <c r="A13" s="71"/>
      <c r="B13" s="21" t="s">
        <v>16</v>
      </c>
      <c r="C13" s="21" t="s">
        <v>16</v>
      </c>
      <c r="D13" s="74" t="s">
        <v>34</v>
      </c>
      <c r="E13" s="30">
        <v>33396</v>
      </c>
      <c r="F13" s="30">
        <v>3339</v>
      </c>
      <c r="G13" s="17">
        <f t="shared" si="1"/>
        <v>36735</v>
      </c>
      <c r="H13" s="35" t="s">
        <v>14</v>
      </c>
      <c r="I13" s="36"/>
      <c r="J13" s="4">
        <v>11</v>
      </c>
    </row>
    <row r="14" spans="1:10" x14ac:dyDescent="0.4">
      <c r="A14" s="71"/>
      <c r="B14" s="37" t="s">
        <v>35</v>
      </c>
      <c r="C14" s="37" t="s">
        <v>36</v>
      </c>
      <c r="D14" s="74" t="s">
        <v>37</v>
      </c>
      <c r="E14" s="30">
        <v>100000</v>
      </c>
      <c r="F14" s="17">
        <f>E14*0.1</f>
        <v>10000</v>
      </c>
      <c r="G14" s="29">
        <f t="shared" si="1"/>
        <v>110000</v>
      </c>
      <c r="H14" s="38" t="s">
        <v>14</v>
      </c>
      <c r="I14" s="4"/>
      <c r="J14" s="4">
        <v>12</v>
      </c>
    </row>
    <row r="15" spans="1:10" x14ac:dyDescent="0.4">
      <c r="A15" s="71"/>
      <c r="B15" s="31" t="s">
        <v>38</v>
      </c>
      <c r="C15" s="31" t="s">
        <v>39</v>
      </c>
      <c r="D15" s="75" t="s">
        <v>40</v>
      </c>
      <c r="E15" s="30">
        <v>120270</v>
      </c>
      <c r="F15" s="30">
        <v>12027</v>
      </c>
      <c r="G15" s="17">
        <f t="shared" si="1"/>
        <v>132297</v>
      </c>
      <c r="H15" s="24" t="s">
        <v>14</v>
      </c>
      <c r="I15" s="36"/>
      <c r="J15" s="4">
        <v>13</v>
      </c>
    </row>
    <row r="16" spans="1:10" x14ac:dyDescent="0.4">
      <c r="A16" s="71"/>
      <c r="B16" s="31" t="s">
        <v>41</v>
      </c>
      <c r="C16" s="31" t="s">
        <v>42</v>
      </c>
      <c r="D16" s="75" t="s">
        <v>43</v>
      </c>
      <c r="E16" s="30">
        <v>10456193</v>
      </c>
      <c r="F16" s="30">
        <v>1045619</v>
      </c>
      <c r="G16" s="17">
        <f t="shared" si="1"/>
        <v>11501812</v>
      </c>
      <c r="H16" s="24" t="s">
        <v>14</v>
      </c>
      <c r="I16" s="4"/>
      <c r="J16" s="4">
        <v>14</v>
      </c>
    </row>
    <row r="17" spans="1:10" x14ac:dyDescent="0.4">
      <c r="A17" s="71"/>
      <c r="B17" s="31" t="s">
        <v>44</v>
      </c>
      <c r="C17" s="31" t="s">
        <v>45</v>
      </c>
      <c r="D17" s="37" t="s">
        <v>46</v>
      </c>
      <c r="E17" s="30">
        <v>44000</v>
      </c>
      <c r="F17" s="17">
        <f t="shared" ref="F17:F25" si="2">E17*0.1</f>
        <v>4400</v>
      </c>
      <c r="G17" s="17">
        <f t="shared" si="1"/>
        <v>48400</v>
      </c>
      <c r="H17" s="38" t="s">
        <v>14</v>
      </c>
      <c r="I17" s="4"/>
      <c r="J17" s="4">
        <v>15</v>
      </c>
    </row>
    <row r="18" spans="1:10" x14ac:dyDescent="0.4">
      <c r="A18" s="71"/>
      <c r="B18" s="21" t="s">
        <v>47</v>
      </c>
      <c r="C18" s="21" t="s">
        <v>45</v>
      </c>
      <c r="D18" s="37" t="s">
        <v>48</v>
      </c>
      <c r="E18" s="30">
        <v>253300</v>
      </c>
      <c r="F18" s="17">
        <f t="shared" si="2"/>
        <v>25330</v>
      </c>
      <c r="G18" s="17">
        <f>E18+F18</f>
        <v>278630</v>
      </c>
      <c r="H18" s="24" t="s">
        <v>14</v>
      </c>
      <c r="I18" s="4"/>
      <c r="J18" s="4">
        <v>16</v>
      </c>
    </row>
    <row r="19" spans="1:10" x14ac:dyDescent="0.4">
      <c r="A19" s="71"/>
      <c r="B19" s="31" t="s">
        <v>11</v>
      </c>
      <c r="C19" s="31" t="s">
        <v>12</v>
      </c>
      <c r="D19" s="37" t="s">
        <v>49</v>
      </c>
      <c r="E19" s="76"/>
      <c r="F19" s="17">
        <f t="shared" si="2"/>
        <v>0</v>
      </c>
      <c r="G19" s="17">
        <f>E19+F19</f>
        <v>0</v>
      </c>
      <c r="H19" s="24" t="s">
        <v>14</v>
      </c>
      <c r="I19" s="4" t="s">
        <v>50</v>
      </c>
      <c r="J19" s="4">
        <v>17</v>
      </c>
    </row>
    <row r="20" spans="1:10" x14ac:dyDescent="0.4">
      <c r="A20" s="71"/>
      <c r="B20" s="21" t="s">
        <v>16</v>
      </c>
      <c r="C20" s="21" t="s">
        <v>16</v>
      </c>
      <c r="D20" s="37" t="s">
        <v>51</v>
      </c>
      <c r="E20" s="76"/>
      <c r="F20" s="17">
        <f t="shared" si="2"/>
        <v>0</v>
      </c>
      <c r="G20" s="17">
        <f>E20+F20</f>
        <v>0</v>
      </c>
      <c r="H20" s="24" t="s">
        <v>14</v>
      </c>
      <c r="I20" s="4" t="s">
        <v>52</v>
      </c>
      <c r="J20" s="4">
        <v>18</v>
      </c>
    </row>
    <row r="21" spans="1:10" x14ac:dyDescent="0.4">
      <c r="A21" s="71"/>
      <c r="B21" s="21" t="s">
        <v>16</v>
      </c>
      <c r="C21" s="21" t="s">
        <v>16</v>
      </c>
      <c r="D21" s="37" t="s">
        <v>53</v>
      </c>
      <c r="E21" s="76">
        <v>9476</v>
      </c>
      <c r="F21" s="17">
        <f t="shared" si="2"/>
        <v>947.6</v>
      </c>
      <c r="G21" s="17">
        <f t="shared" ref="G21:G26" si="3">E21+F21</f>
        <v>10423.6</v>
      </c>
      <c r="H21" s="24" t="s">
        <v>14</v>
      </c>
      <c r="I21" s="4" t="s">
        <v>54</v>
      </c>
      <c r="J21" s="4">
        <v>19</v>
      </c>
    </row>
    <row r="22" spans="1:10" x14ac:dyDescent="0.4">
      <c r="A22" s="71"/>
      <c r="B22" s="21" t="s">
        <v>16</v>
      </c>
      <c r="C22" s="21" t="s">
        <v>55</v>
      </c>
      <c r="D22" s="37" t="s">
        <v>56</v>
      </c>
      <c r="E22" s="23"/>
      <c r="F22" s="17">
        <f t="shared" si="2"/>
        <v>0</v>
      </c>
      <c r="G22" s="17">
        <f t="shared" si="3"/>
        <v>0</v>
      </c>
      <c r="H22" s="24" t="s">
        <v>14</v>
      </c>
      <c r="I22" s="4" t="s">
        <v>57</v>
      </c>
      <c r="J22" s="4">
        <v>20</v>
      </c>
    </row>
    <row r="23" spans="1:10" x14ac:dyDescent="0.4">
      <c r="A23" s="71"/>
      <c r="B23" s="21" t="s">
        <v>16</v>
      </c>
      <c r="C23" s="21" t="s">
        <v>16</v>
      </c>
      <c r="D23" s="37" t="s">
        <v>58</v>
      </c>
      <c r="E23" s="41"/>
      <c r="F23" s="17">
        <f t="shared" si="2"/>
        <v>0</v>
      </c>
      <c r="G23" s="17">
        <f t="shared" si="3"/>
        <v>0</v>
      </c>
      <c r="H23" s="24" t="s">
        <v>14</v>
      </c>
      <c r="I23" s="4" t="s">
        <v>59</v>
      </c>
      <c r="J23" s="4">
        <v>21</v>
      </c>
    </row>
    <row r="24" spans="1:10" x14ac:dyDescent="0.4">
      <c r="A24" s="71"/>
      <c r="B24" s="37" t="s">
        <v>60</v>
      </c>
      <c r="C24" s="37" t="s">
        <v>61</v>
      </c>
      <c r="D24" s="37" t="s">
        <v>62</v>
      </c>
      <c r="E24" s="30">
        <v>170000</v>
      </c>
      <c r="F24" s="17">
        <f t="shared" si="2"/>
        <v>17000</v>
      </c>
      <c r="G24" s="17">
        <f t="shared" si="3"/>
        <v>187000</v>
      </c>
      <c r="H24" s="24" t="s">
        <v>14</v>
      </c>
      <c r="I24" s="6"/>
      <c r="J24" s="4">
        <v>22</v>
      </c>
    </row>
    <row r="25" spans="1:10" x14ac:dyDescent="0.4">
      <c r="A25" s="71"/>
      <c r="B25" s="37" t="s">
        <v>63</v>
      </c>
      <c r="C25" s="37" t="s">
        <v>64</v>
      </c>
      <c r="D25" s="37" t="s">
        <v>65</v>
      </c>
      <c r="E25" s="30">
        <v>69000</v>
      </c>
      <c r="F25" s="17">
        <f t="shared" si="2"/>
        <v>6900</v>
      </c>
      <c r="G25" s="17">
        <f t="shared" si="3"/>
        <v>75900</v>
      </c>
      <c r="H25" s="24" t="s">
        <v>14</v>
      </c>
      <c r="I25" s="6"/>
      <c r="J25" s="4">
        <v>23</v>
      </c>
    </row>
    <row r="26" spans="1:10" x14ac:dyDescent="0.4">
      <c r="A26" s="71"/>
      <c r="B26" s="37" t="s">
        <v>66</v>
      </c>
      <c r="C26" s="37" t="s">
        <v>67</v>
      </c>
      <c r="D26" s="37" t="s">
        <v>68</v>
      </c>
      <c r="E26" s="30">
        <v>240000</v>
      </c>
      <c r="F26" s="17">
        <f>E26*0.1</f>
        <v>24000</v>
      </c>
      <c r="G26" s="17">
        <f t="shared" si="3"/>
        <v>264000</v>
      </c>
      <c r="H26" s="24" t="s">
        <v>14</v>
      </c>
      <c r="I26" s="4"/>
      <c r="J26" s="4">
        <v>24</v>
      </c>
    </row>
    <row r="27" spans="1:10" x14ac:dyDescent="0.4">
      <c r="A27" s="77"/>
      <c r="B27" s="43" t="s">
        <v>69</v>
      </c>
      <c r="C27" s="43" t="s">
        <v>70</v>
      </c>
      <c r="D27" s="43" t="s">
        <v>71</v>
      </c>
      <c r="E27" s="30">
        <v>100000</v>
      </c>
      <c r="F27" s="45">
        <f>E27*0.1</f>
        <v>10000</v>
      </c>
      <c r="G27" s="29">
        <f>E27+F27</f>
        <v>110000</v>
      </c>
      <c r="H27" s="38" t="s">
        <v>14</v>
      </c>
      <c r="I27" s="4"/>
      <c r="J27" s="4">
        <v>25</v>
      </c>
    </row>
    <row r="28" spans="1:10" ht="18" thickBot="1" x14ac:dyDescent="0.45">
      <c r="A28" s="77"/>
      <c r="B28" s="31" t="s">
        <v>72</v>
      </c>
      <c r="C28" s="46" t="s">
        <v>73</v>
      </c>
      <c r="D28" s="31" t="s">
        <v>74</v>
      </c>
      <c r="E28" s="93">
        <v>300000</v>
      </c>
      <c r="F28" s="29">
        <f>E28*0.1</f>
        <v>30000</v>
      </c>
      <c r="G28" s="29">
        <f t="shared" ref="G28:G52" si="4">E28+F28</f>
        <v>330000</v>
      </c>
      <c r="H28" s="35" t="s">
        <v>14</v>
      </c>
      <c r="I28" s="4"/>
      <c r="J28" s="4">
        <v>26</v>
      </c>
    </row>
    <row r="29" spans="1:10" ht="18" thickTop="1" x14ac:dyDescent="0.4">
      <c r="A29" s="94" t="s">
        <v>231</v>
      </c>
      <c r="B29" s="95" t="s">
        <v>131</v>
      </c>
      <c r="C29" s="95" t="s">
        <v>132</v>
      </c>
      <c r="D29" s="95" t="s">
        <v>133</v>
      </c>
      <c r="E29" s="96">
        <v>515000</v>
      </c>
      <c r="F29" s="96">
        <v>51500</v>
      </c>
      <c r="G29" s="97">
        <f t="shared" si="4"/>
        <v>566500</v>
      </c>
      <c r="H29" s="98" t="s">
        <v>14</v>
      </c>
      <c r="I29" s="7"/>
      <c r="J29" s="4">
        <v>1</v>
      </c>
    </row>
    <row r="30" spans="1:10" x14ac:dyDescent="0.4">
      <c r="A30" s="90" t="s">
        <v>231</v>
      </c>
      <c r="B30" s="43" t="s">
        <v>134</v>
      </c>
      <c r="C30" s="43" t="s">
        <v>135</v>
      </c>
      <c r="D30" s="43" t="s">
        <v>232</v>
      </c>
      <c r="E30" s="30">
        <v>2584000</v>
      </c>
      <c r="F30" s="30">
        <v>258400</v>
      </c>
      <c r="G30" s="53">
        <f t="shared" si="4"/>
        <v>2842400</v>
      </c>
      <c r="H30" s="38" t="s">
        <v>14</v>
      </c>
      <c r="I30" s="7"/>
      <c r="J30" s="4">
        <v>2</v>
      </c>
    </row>
    <row r="31" spans="1:10" x14ac:dyDescent="0.4">
      <c r="A31" s="90" t="s">
        <v>231</v>
      </c>
      <c r="B31" s="43" t="s">
        <v>181</v>
      </c>
      <c r="C31" s="43" t="s">
        <v>182</v>
      </c>
      <c r="D31" s="43" t="s">
        <v>183</v>
      </c>
      <c r="E31" s="30">
        <v>120000</v>
      </c>
      <c r="F31" s="30">
        <v>12000</v>
      </c>
      <c r="G31" s="53">
        <f t="shared" si="4"/>
        <v>132000</v>
      </c>
      <c r="H31" s="24" t="s">
        <v>14</v>
      </c>
      <c r="I31" s="7"/>
      <c r="J31" s="4">
        <v>3</v>
      </c>
    </row>
    <row r="32" spans="1:10" x14ac:dyDescent="0.4">
      <c r="A32" s="90" t="s">
        <v>231</v>
      </c>
      <c r="B32" s="43" t="s">
        <v>143</v>
      </c>
      <c r="C32" s="43" t="s">
        <v>144</v>
      </c>
      <c r="D32" s="43" t="s">
        <v>145</v>
      </c>
      <c r="E32" s="30">
        <v>504000</v>
      </c>
      <c r="F32" s="30">
        <v>50400</v>
      </c>
      <c r="G32" s="53">
        <f t="shared" si="4"/>
        <v>554400</v>
      </c>
      <c r="H32" s="24" t="s">
        <v>14</v>
      </c>
      <c r="I32" s="7"/>
      <c r="J32" s="4">
        <v>4</v>
      </c>
    </row>
    <row r="33" spans="1:10" x14ac:dyDescent="0.4">
      <c r="A33" s="90" t="s">
        <v>231</v>
      </c>
      <c r="B33" s="43" t="s">
        <v>153</v>
      </c>
      <c r="C33" s="43" t="s">
        <v>154</v>
      </c>
      <c r="D33" s="43" t="s">
        <v>155</v>
      </c>
      <c r="E33" s="30">
        <v>3198000</v>
      </c>
      <c r="F33" s="30">
        <v>319800</v>
      </c>
      <c r="G33" s="53">
        <f t="shared" si="4"/>
        <v>3517800</v>
      </c>
      <c r="H33" s="35" t="s">
        <v>14</v>
      </c>
      <c r="I33" s="7"/>
      <c r="J33" s="4">
        <v>5</v>
      </c>
    </row>
    <row r="34" spans="1:10" x14ac:dyDescent="0.4">
      <c r="A34" s="90" t="s">
        <v>231</v>
      </c>
      <c r="B34" s="43" t="s">
        <v>156</v>
      </c>
      <c r="C34" s="43" t="s">
        <v>157</v>
      </c>
      <c r="D34" s="43" t="s">
        <v>158</v>
      </c>
      <c r="E34" s="30">
        <v>2660600</v>
      </c>
      <c r="F34" s="30">
        <v>266060</v>
      </c>
      <c r="G34" s="53">
        <f t="shared" si="4"/>
        <v>2926660</v>
      </c>
      <c r="H34" s="24" t="s">
        <v>14</v>
      </c>
      <c r="I34" s="7" t="s">
        <v>233</v>
      </c>
      <c r="J34" s="4">
        <v>6</v>
      </c>
    </row>
    <row r="35" spans="1:10" x14ac:dyDescent="0.4">
      <c r="A35" s="90" t="s">
        <v>231</v>
      </c>
      <c r="B35" s="43" t="s">
        <v>159</v>
      </c>
      <c r="C35" s="43" t="s">
        <v>160</v>
      </c>
      <c r="D35" s="43" t="s">
        <v>161</v>
      </c>
      <c r="E35" s="30">
        <v>7535000</v>
      </c>
      <c r="F35" s="30">
        <v>753500</v>
      </c>
      <c r="G35" s="53">
        <f t="shared" si="4"/>
        <v>8288500</v>
      </c>
      <c r="H35" s="38" t="s">
        <v>14</v>
      </c>
      <c r="I35" s="7"/>
      <c r="J35" s="4">
        <v>7</v>
      </c>
    </row>
    <row r="36" spans="1:10" x14ac:dyDescent="0.4">
      <c r="A36" s="90" t="s">
        <v>231</v>
      </c>
      <c r="B36" s="43" t="s">
        <v>84</v>
      </c>
      <c r="C36" s="43" t="s">
        <v>85</v>
      </c>
      <c r="D36" s="43" t="s">
        <v>234</v>
      </c>
      <c r="E36" s="30">
        <v>550000</v>
      </c>
      <c r="F36" s="30">
        <v>55000</v>
      </c>
      <c r="G36" s="53">
        <f t="shared" si="4"/>
        <v>605000</v>
      </c>
      <c r="H36" s="24" t="s">
        <v>14</v>
      </c>
      <c r="I36" s="7"/>
      <c r="J36" s="4">
        <v>8</v>
      </c>
    </row>
    <row r="37" spans="1:10" x14ac:dyDescent="0.4">
      <c r="A37" s="90" t="s">
        <v>235</v>
      </c>
      <c r="B37" s="43" t="s">
        <v>236</v>
      </c>
      <c r="C37" s="43" t="s">
        <v>237</v>
      </c>
      <c r="D37" s="43" t="s">
        <v>238</v>
      </c>
      <c r="E37" s="30">
        <v>5000000</v>
      </c>
      <c r="F37" s="30">
        <v>500000</v>
      </c>
      <c r="G37" s="53">
        <f t="shared" si="4"/>
        <v>5500000</v>
      </c>
      <c r="H37" s="24" t="s">
        <v>14</v>
      </c>
      <c r="I37" s="7"/>
      <c r="J37" s="4">
        <v>9</v>
      </c>
    </row>
    <row r="38" spans="1:10" x14ac:dyDescent="0.4">
      <c r="A38" s="90" t="s">
        <v>239</v>
      </c>
      <c r="B38" s="43" t="s">
        <v>190</v>
      </c>
      <c r="C38" s="43" t="s">
        <v>191</v>
      </c>
      <c r="D38" s="43" t="s">
        <v>192</v>
      </c>
      <c r="E38" s="30">
        <v>175000</v>
      </c>
      <c r="F38" s="30">
        <v>17500</v>
      </c>
      <c r="G38" s="53">
        <f t="shared" si="4"/>
        <v>192500</v>
      </c>
      <c r="H38" s="24" t="s">
        <v>14</v>
      </c>
      <c r="I38" s="7"/>
      <c r="J38" s="4">
        <v>10</v>
      </c>
    </row>
    <row r="39" spans="1:10" x14ac:dyDescent="0.4">
      <c r="A39" s="90" t="s">
        <v>240</v>
      </c>
      <c r="B39" s="43" t="s">
        <v>124</v>
      </c>
      <c r="C39" s="43" t="s">
        <v>125</v>
      </c>
      <c r="D39" s="43" t="s">
        <v>241</v>
      </c>
      <c r="E39" s="30">
        <v>200000</v>
      </c>
      <c r="F39" s="30">
        <v>20000</v>
      </c>
      <c r="G39" s="53">
        <f t="shared" si="4"/>
        <v>220000</v>
      </c>
      <c r="H39" s="24" t="s">
        <v>14</v>
      </c>
      <c r="I39" s="7"/>
      <c r="J39" s="4">
        <v>11</v>
      </c>
    </row>
    <row r="40" spans="1:10" x14ac:dyDescent="0.4">
      <c r="A40" s="90" t="s">
        <v>240</v>
      </c>
      <c r="B40" s="43" t="s">
        <v>242</v>
      </c>
      <c r="C40" s="43" t="s">
        <v>243</v>
      </c>
      <c r="D40" s="43" t="s">
        <v>244</v>
      </c>
      <c r="E40" s="30">
        <v>2600000</v>
      </c>
      <c r="F40" s="30">
        <v>260000</v>
      </c>
      <c r="G40" s="53">
        <f t="shared" si="4"/>
        <v>2860000</v>
      </c>
      <c r="H40" s="24" t="s">
        <v>14</v>
      </c>
      <c r="I40" s="7"/>
      <c r="J40" s="4">
        <v>12</v>
      </c>
    </row>
    <row r="41" spans="1:10" x14ac:dyDescent="0.4">
      <c r="A41" s="90" t="s">
        <v>245</v>
      </c>
      <c r="B41" s="43" t="s">
        <v>246</v>
      </c>
      <c r="C41" s="43" t="s">
        <v>211</v>
      </c>
      <c r="D41" s="43" t="s">
        <v>247</v>
      </c>
      <c r="E41" s="30">
        <v>1422000</v>
      </c>
      <c r="F41" s="30">
        <v>142200</v>
      </c>
      <c r="G41" s="53">
        <f t="shared" si="4"/>
        <v>1564200</v>
      </c>
      <c r="H41" s="24" t="s">
        <v>14</v>
      </c>
      <c r="I41" s="54" t="s">
        <v>248</v>
      </c>
      <c r="J41" s="4">
        <v>13</v>
      </c>
    </row>
    <row r="42" spans="1:10" x14ac:dyDescent="0.4">
      <c r="A42" s="90" t="s">
        <v>245</v>
      </c>
      <c r="B42" s="43" t="s">
        <v>194</v>
      </c>
      <c r="C42" s="43" t="s">
        <v>195</v>
      </c>
      <c r="D42" s="43" t="s">
        <v>249</v>
      </c>
      <c r="E42" s="30">
        <v>2990000</v>
      </c>
      <c r="F42" s="30">
        <v>299000</v>
      </c>
      <c r="G42" s="53">
        <f t="shared" si="4"/>
        <v>3289000</v>
      </c>
      <c r="H42" s="24" t="s">
        <v>14</v>
      </c>
      <c r="I42" s="7"/>
      <c r="J42" s="4">
        <v>14</v>
      </c>
    </row>
    <row r="43" spans="1:10" x14ac:dyDescent="0.4">
      <c r="A43" s="90" t="s">
        <v>250</v>
      </c>
      <c r="B43" s="43" t="s">
        <v>140</v>
      </c>
      <c r="C43" s="43" t="s">
        <v>141</v>
      </c>
      <c r="D43" s="43" t="s">
        <v>251</v>
      </c>
      <c r="E43" s="30">
        <v>1800000</v>
      </c>
      <c r="F43" s="30">
        <v>180000</v>
      </c>
      <c r="G43" s="53">
        <f t="shared" si="4"/>
        <v>1980000</v>
      </c>
      <c r="H43" s="24" t="s">
        <v>14</v>
      </c>
      <c r="I43" s="7"/>
      <c r="J43" s="4">
        <v>15</v>
      </c>
    </row>
    <row r="44" spans="1:10" x14ac:dyDescent="0.4">
      <c r="A44" s="90" t="s">
        <v>252</v>
      </c>
      <c r="B44" s="43" t="s">
        <v>149</v>
      </c>
      <c r="C44" s="43" t="s">
        <v>150</v>
      </c>
      <c r="D44" s="43" t="s">
        <v>253</v>
      </c>
      <c r="E44" s="30">
        <v>437000</v>
      </c>
      <c r="F44" s="30">
        <v>43700</v>
      </c>
      <c r="G44" s="53">
        <f t="shared" si="4"/>
        <v>480700</v>
      </c>
      <c r="H44" s="24" t="s">
        <v>14</v>
      </c>
      <c r="I44" s="7"/>
      <c r="J44" s="4">
        <v>16</v>
      </c>
    </row>
    <row r="45" spans="1:10" x14ac:dyDescent="0.4">
      <c r="A45" s="90" t="s">
        <v>254</v>
      </c>
      <c r="B45" s="43" t="s">
        <v>255</v>
      </c>
      <c r="C45" s="43" t="s">
        <v>256</v>
      </c>
      <c r="D45" s="43" t="s">
        <v>257</v>
      </c>
      <c r="E45" s="30">
        <v>660000</v>
      </c>
      <c r="F45" s="30">
        <v>66000</v>
      </c>
      <c r="G45" s="53">
        <f t="shared" si="4"/>
        <v>726000</v>
      </c>
      <c r="H45" s="24" t="s">
        <v>14</v>
      </c>
      <c r="I45" s="7"/>
      <c r="J45" s="4">
        <v>17</v>
      </c>
    </row>
    <row r="46" spans="1:10" x14ac:dyDescent="0.4">
      <c r="A46" s="90" t="s">
        <v>258</v>
      </c>
      <c r="B46" s="43" t="s">
        <v>110</v>
      </c>
      <c r="C46" s="43" t="s">
        <v>111</v>
      </c>
      <c r="D46" s="43" t="s">
        <v>259</v>
      </c>
      <c r="E46" s="30">
        <v>150000</v>
      </c>
      <c r="F46" s="30">
        <v>15000</v>
      </c>
      <c r="G46" s="53">
        <f t="shared" si="4"/>
        <v>165000</v>
      </c>
      <c r="H46" s="24" t="s">
        <v>14</v>
      </c>
      <c r="I46" s="7"/>
      <c r="J46" s="4">
        <v>19</v>
      </c>
    </row>
    <row r="47" spans="1:10" x14ac:dyDescent="0.4">
      <c r="A47" s="90" t="s">
        <v>260</v>
      </c>
      <c r="B47" s="43" t="s">
        <v>88</v>
      </c>
      <c r="C47" s="43" t="s">
        <v>89</v>
      </c>
      <c r="D47" s="43" t="s">
        <v>90</v>
      </c>
      <c r="E47" s="30">
        <v>34455</v>
      </c>
      <c r="F47" s="30">
        <v>3445</v>
      </c>
      <c r="G47" s="53">
        <f t="shared" si="4"/>
        <v>37900</v>
      </c>
      <c r="H47" s="24" t="s">
        <v>14</v>
      </c>
      <c r="I47" s="7"/>
      <c r="J47" s="4">
        <v>21</v>
      </c>
    </row>
    <row r="48" spans="1:10" x14ac:dyDescent="0.4">
      <c r="A48" s="90" t="s">
        <v>239</v>
      </c>
      <c r="B48" s="43" t="s">
        <v>103</v>
      </c>
      <c r="C48" s="43" t="s">
        <v>104</v>
      </c>
      <c r="D48" s="43" t="s">
        <v>105</v>
      </c>
      <c r="E48" s="30">
        <v>550000</v>
      </c>
      <c r="F48" s="30">
        <v>55000</v>
      </c>
      <c r="G48" s="53">
        <f t="shared" si="4"/>
        <v>605000</v>
      </c>
      <c r="H48" s="24" t="s">
        <v>14</v>
      </c>
      <c r="I48" s="7"/>
      <c r="J48" s="4">
        <v>22</v>
      </c>
    </row>
    <row r="49" spans="1:10" x14ac:dyDescent="0.4">
      <c r="A49" s="90" t="s">
        <v>250</v>
      </c>
      <c r="B49" s="43" t="s">
        <v>103</v>
      </c>
      <c r="C49" s="43" t="s">
        <v>104</v>
      </c>
      <c r="D49" s="43" t="s">
        <v>105</v>
      </c>
      <c r="E49" s="30">
        <v>550000</v>
      </c>
      <c r="F49" s="30">
        <v>55000</v>
      </c>
      <c r="G49" s="53">
        <f t="shared" si="4"/>
        <v>605000</v>
      </c>
      <c r="H49" s="24" t="s">
        <v>14</v>
      </c>
      <c r="I49" s="7"/>
      <c r="J49" s="4">
        <v>23</v>
      </c>
    </row>
    <row r="50" spans="1:10" x14ac:dyDescent="0.4">
      <c r="A50" s="90" t="s">
        <v>261</v>
      </c>
      <c r="B50" s="43" t="s">
        <v>103</v>
      </c>
      <c r="C50" s="43" t="s">
        <v>104</v>
      </c>
      <c r="D50" s="43" t="s">
        <v>105</v>
      </c>
      <c r="E50" s="30">
        <v>550000</v>
      </c>
      <c r="F50" s="30">
        <v>55000</v>
      </c>
      <c r="G50" s="53">
        <f t="shared" si="4"/>
        <v>605000</v>
      </c>
      <c r="H50" s="24" t="s">
        <v>14</v>
      </c>
      <c r="I50" s="7"/>
      <c r="J50" s="4">
        <v>24</v>
      </c>
    </row>
    <row r="51" spans="1:10" x14ac:dyDescent="0.4">
      <c r="A51" s="90" t="s">
        <v>260</v>
      </c>
      <c r="B51" s="43" t="s">
        <v>103</v>
      </c>
      <c r="C51" s="43" t="s">
        <v>104</v>
      </c>
      <c r="D51" s="43" t="s">
        <v>105</v>
      </c>
      <c r="E51" s="30">
        <v>550000</v>
      </c>
      <c r="F51" s="30">
        <v>55000</v>
      </c>
      <c r="G51" s="53">
        <f t="shared" si="4"/>
        <v>605000</v>
      </c>
      <c r="H51" s="24" t="s">
        <v>14</v>
      </c>
      <c r="I51" s="7"/>
      <c r="J51" s="4">
        <v>25</v>
      </c>
    </row>
    <row r="52" spans="1:10" x14ac:dyDescent="0.4">
      <c r="A52" s="90" t="s">
        <v>262</v>
      </c>
      <c r="B52" s="43" t="s">
        <v>103</v>
      </c>
      <c r="C52" s="43" t="s">
        <v>104</v>
      </c>
      <c r="D52" s="43" t="s">
        <v>105</v>
      </c>
      <c r="E52" s="30">
        <v>550000</v>
      </c>
      <c r="F52" s="30">
        <v>55000</v>
      </c>
      <c r="G52" s="53">
        <f t="shared" si="4"/>
        <v>605000</v>
      </c>
      <c r="H52" s="24" t="s">
        <v>14</v>
      </c>
      <c r="I52" s="54">
        <f>G52+G51+G50+G49+G48</f>
        <v>3025000</v>
      </c>
      <c r="J52" s="4">
        <v>26</v>
      </c>
    </row>
    <row r="53" spans="1:10" x14ac:dyDescent="0.4">
      <c r="A53" s="90"/>
      <c r="B53" s="43"/>
      <c r="C53" s="43"/>
      <c r="D53" s="43"/>
      <c r="E53" s="99"/>
      <c r="F53" s="99"/>
      <c r="G53" s="100"/>
      <c r="H53" s="24" t="s">
        <v>14</v>
      </c>
      <c r="I53" s="7"/>
      <c r="J53" s="4"/>
    </row>
    <row r="54" spans="1:10" x14ac:dyDescent="0.4">
      <c r="A54" s="90"/>
      <c r="B54" s="43"/>
      <c r="C54" s="43"/>
      <c r="D54" s="43"/>
      <c r="E54" s="99"/>
      <c r="F54" s="99"/>
      <c r="G54" s="100"/>
      <c r="H54" s="24" t="s">
        <v>152</v>
      </c>
      <c r="I54" s="7"/>
      <c r="J54" s="4">
        <v>27</v>
      </c>
    </row>
    <row r="55" spans="1:10" x14ac:dyDescent="0.4">
      <c r="A55" s="90"/>
      <c r="B55" s="43"/>
      <c r="C55" s="43"/>
      <c r="D55" s="43"/>
      <c r="E55" s="99"/>
      <c r="F55" s="99"/>
      <c r="G55" s="100"/>
      <c r="H55" s="24" t="s">
        <v>14</v>
      </c>
      <c r="I55" s="7"/>
      <c r="J55" s="4">
        <v>28</v>
      </c>
    </row>
    <row r="56" spans="1:10" x14ac:dyDescent="0.4">
      <c r="A56" s="101"/>
      <c r="B56" s="102"/>
      <c r="C56" s="57"/>
      <c r="D56" s="57"/>
      <c r="E56" s="92"/>
      <c r="F56" s="92"/>
      <c r="G56" s="60"/>
      <c r="H56" s="24" t="s">
        <v>14</v>
      </c>
      <c r="I56" s="7"/>
      <c r="J56" s="4">
        <v>29</v>
      </c>
    </row>
    <row r="57" spans="1:10" x14ac:dyDescent="0.4">
      <c r="A57" s="101"/>
      <c r="B57" s="102"/>
      <c r="C57" s="57"/>
      <c r="D57" s="57"/>
      <c r="E57" s="92"/>
      <c r="F57" s="92"/>
      <c r="G57" s="60"/>
      <c r="H57" s="24" t="s">
        <v>14</v>
      </c>
      <c r="I57" s="54">
        <f>G54+G53+G55+G56+G57</f>
        <v>0</v>
      </c>
      <c r="J57" s="4">
        <v>30</v>
      </c>
    </row>
    <row r="58" spans="1:10" x14ac:dyDescent="0.4">
      <c r="A58" s="101"/>
      <c r="B58" s="102"/>
      <c r="C58" s="57"/>
      <c r="D58" s="57"/>
      <c r="E58" s="92"/>
      <c r="F58" s="92"/>
      <c r="G58" s="60"/>
      <c r="H58" s="24" t="s">
        <v>14</v>
      </c>
      <c r="I58" s="54"/>
      <c r="J58" s="4">
        <v>31</v>
      </c>
    </row>
    <row r="59" spans="1:10" x14ac:dyDescent="0.4">
      <c r="A59" s="91"/>
      <c r="B59" s="57"/>
      <c r="C59" s="57"/>
      <c r="D59" s="57"/>
      <c r="E59" s="92"/>
      <c r="F59" s="59"/>
      <c r="G59" s="60"/>
      <c r="H59" s="24" t="s">
        <v>14</v>
      </c>
      <c r="I59" s="54"/>
      <c r="J59" s="4">
        <v>32</v>
      </c>
    </row>
    <row r="60" spans="1:10" x14ac:dyDescent="0.4">
      <c r="A60" s="91"/>
      <c r="B60" s="57"/>
      <c r="C60" s="57"/>
      <c r="D60" s="57"/>
      <c r="E60" s="92"/>
      <c r="F60" s="59"/>
      <c r="G60" s="60"/>
      <c r="H60" s="24" t="s">
        <v>14</v>
      </c>
      <c r="I60" s="54"/>
      <c r="J60" s="4">
        <v>33</v>
      </c>
    </row>
    <row r="61" spans="1:10" x14ac:dyDescent="0.4">
      <c r="A61" s="61"/>
      <c r="B61" s="56"/>
      <c r="C61" s="57"/>
      <c r="D61" s="56"/>
      <c r="E61" s="58"/>
      <c r="F61" s="59"/>
      <c r="G61" s="60"/>
      <c r="H61" s="24" t="s">
        <v>14</v>
      </c>
      <c r="I61" s="54"/>
      <c r="J61" s="4">
        <v>34</v>
      </c>
    </row>
    <row r="62" spans="1:10" x14ac:dyDescent="0.4">
      <c r="A62" s="61"/>
      <c r="B62" s="56"/>
      <c r="C62" s="57"/>
      <c r="D62" s="56"/>
      <c r="E62" s="58"/>
      <c r="F62" s="59"/>
      <c r="G62" s="60"/>
      <c r="H62" s="24" t="s">
        <v>14</v>
      </c>
      <c r="I62" s="54">
        <f>G57+G58+G59+G60+G61+G62</f>
        <v>0</v>
      </c>
      <c r="J62" s="4">
        <v>35</v>
      </c>
    </row>
    <row r="63" spans="1:10" x14ac:dyDescent="0.4">
      <c r="A63" s="61"/>
      <c r="B63" s="56"/>
      <c r="C63" s="57"/>
      <c r="D63" s="56"/>
      <c r="E63" s="58"/>
      <c r="F63" s="59"/>
      <c r="G63" s="60"/>
      <c r="H63" s="24" t="s">
        <v>14</v>
      </c>
      <c r="I63" s="54"/>
      <c r="J63" s="4">
        <v>36</v>
      </c>
    </row>
    <row r="64" spans="1:10" ht="18" thickBot="1" x14ac:dyDescent="0.45">
      <c r="A64" s="61"/>
      <c r="B64" s="56"/>
      <c r="C64" s="57"/>
      <c r="D64" s="56"/>
      <c r="E64" s="58"/>
      <c r="F64" s="59"/>
      <c r="G64" s="60"/>
      <c r="H64" s="24" t="s">
        <v>14</v>
      </c>
      <c r="I64" s="54"/>
      <c r="J64" s="4">
        <v>37</v>
      </c>
    </row>
    <row r="65" spans="1:10" ht="18" thickBot="1" x14ac:dyDescent="0.45">
      <c r="A65" s="62"/>
      <c r="B65" s="63" t="s">
        <v>8</v>
      </c>
      <c r="C65" s="64"/>
      <c r="D65" s="65"/>
      <c r="E65" s="66">
        <f>SUM(E4:E64)</f>
        <v>55759958</v>
      </c>
      <c r="F65" s="66">
        <f>SUM(F4:F64)</f>
        <v>5575993.5</v>
      </c>
      <c r="G65" s="67">
        <f>SUM(G4:G64)</f>
        <v>61335951.5</v>
      </c>
      <c r="H65" s="68"/>
      <c r="I65" s="7"/>
      <c r="J65" s="7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2025-04</vt:lpstr>
      <vt:lpstr>2025-05</vt:lpstr>
      <vt:lpstr>2025-06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신우성</dc:creator>
  <cp:lastModifiedBy>Bxk0759</cp:lastModifiedBy>
  <dcterms:created xsi:type="dcterms:W3CDTF">2015-06-05T18:19:34Z</dcterms:created>
  <dcterms:modified xsi:type="dcterms:W3CDTF">2025-10-21T16:46:52Z</dcterms:modified>
</cp:coreProperties>
</file>